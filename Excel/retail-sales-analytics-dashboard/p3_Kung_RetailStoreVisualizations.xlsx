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pivotCache/pivotCacheDefinition7.xml" ContentType="application/vnd.openxmlformats-officedocument.spreadsheetml.pivotCacheDefinition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charts/chart4.xml" ContentType="application/vnd.openxmlformats-officedocument.drawingml.chart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timelines/timeline2.xml" ContentType="application/vnd.ms-excel.timeline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cit365-my.sharepoint.com/personal/tkung10_my_bcit_ca/Documents/"/>
    </mc:Choice>
  </mc:AlternateContent>
  <xr:revisionPtr revIDLastSave="1529" documentId="8_{6E550077-8F63-408D-AA17-2F8B8E4CBE7C}" xr6:coauthVersionLast="47" xr6:coauthVersionMax="47" xr10:uidLastSave="{028A0660-48A7-460D-BE31-A7E6AFD7AF59}"/>
  <bookViews>
    <workbookView xWindow="-108" yWindow="-108" windowWidth="23256" windowHeight="12456" xr2:uid="{64309B62-CE88-4307-BB46-C8A6E7DBECAB}"/>
  </bookViews>
  <sheets>
    <sheet name="Dashboard" sheetId="21" r:id="rId1"/>
    <sheet name="Categories" sheetId="2" r:id="rId2"/>
    <sheet name="Products" sheetId="3" r:id="rId3"/>
    <sheet name="Customers" sheetId="4" r:id="rId4"/>
    <sheet name="Sales" sheetId="5" r:id="rId5"/>
    <sheet name="Sales_item" sheetId="12" r:id="rId6"/>
    <sheet name="Pivot_Combo" sheetId="13" r:id="rId7"/>
    <sheet name="Pivot_Bar" sheetId="17" r:id="rId8"/>
    <sheet name="Pivot_Line" sheetId="19" r:id="rId9"/>
    <sheet name="Summary" sheetId="20" r:id="rId10"/>
  </sheets>
  <definedNames>
    <definedName name="_xlcn.WorksheetConnection_活頁簿1Category1" hidden="1">Category[]</definedName>
    <definedName name="_xlcn.WorksheetConnection_活頁簿1Customers1" hidden="1">Customers[]</definedName>
    <definedName name="_xlcn.WorksheetConnection_活頁簿1Products1" hidden="1">Products[]</definedName>
    <definedName name="_xlcn.WorksheetConnection_活頁簿1Sales_item1" hidden="1">Sales_item[]</definedName>
    <definedName name="_xlcn.WorksheetConnection_活頁簿1Sales1" hidden="1">Sales[]</definedName>
    <definedName name="Slicer_category_name">#N/A</definedName>
    <definedName name="Slicer_sales_date__月">#N/A</definedName>
    <definedName name="Timeline_sales_date">#N/A</definedName>
    <definedName name="外部資料_1" localSheetId="1" hidden="1">Categories!$A$1:$C$11</definedName>
    <definedName name="外部資料_1" localSheetId="5" hidden="1">Sales_item!$A$1:$D$201</definedName>
    <definedName name="外部資料_2" localSheetId="2" hidden="1">Products!$A$1:$F$26</definedName>
    <definedName name="外部資料_3" localSheetId="3" hidden="1">'Customers'!$A$1:$D$51</definedName>
    <definedName name="外部資料_4" localSheetId="4" hidden="1">Sales!$A$1:$D$101</definedName>
  </definedNames>
  <calcPr calcId="191029"/>
  <pivotCaches>
    <pivotCache cacheId="101" r:id="rId11"/>
    <pivotCache cacheId="104" r:id="rId12"/>
    <pivotCache cacheId="107" r:id="rId13"/>
    <pivotCache cacheId="110" r:id="rId14"/>
  </pivotCaches>
  <extLst>
    <ext xmlns:x14="http://schemas.microsoft.com/office/spreadsheetml/2009/9/main" uri="{876F7934-8845-4945-9796-88D515C7AA90}">
      <x14:pivotCaches>
        <pivotCache cacheId="4" r:id="rId15"/>
        <pivotCache cacheId="5" r:id="rId16"/>
      </x14:pivotCaches>
    </ext>
    <ext xmlns:x14="http://schemas.microsoft.com/office/spreadsheetml/2009/9/main" uri="{BBE1A952-AA13-448e-AADC-164F8A28A991}">
      <x14:slicerCaches>
        <x14:slicerCache r:id="rId17"/>
        <x14:slicerCache r:id="rId1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A2CB5862-8E78-49c6-8D9D-AF26E26ADB89}">
      <x15:timelineCachePivotCaches>
        <pivotCache cacheId="6" r:id="rId19"/>
      </x15:timelineCachePivotCaches>
    </ext>
    <ext xmlns:x15="http://schemas.microsoft.com/office/spreadsheetml/2010/11/main" uri="{D0CA8CA8-9F24-4464-BF8E-62219DCF47F9}">
      <x15:timelineCacheRefs>
        <x15:timelineCacheRef r:id="rId20"/>
      </x15:timelineCacheRef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ales_item" name="Sales_item" connection="WorksheetConnection_活頁簿1!Sales_item"/>
          <x15:modelTable id="Sales" name="Sales" connection="WorksheetConnection_活頁簿1!Sales"/>
          <x15:modelTable id="Products" name="Products" connection="WorksheetConnection_活頁簿1!Products"/>
          <x15:modelTable id="Customers" name="Customers" connection="WorksheetConnection_活頁簿1!Customers"/>
          <x15:modelTable id="Category" name="Category" connection="WorksheetConnection_活頁簿1!Category"/>
        </x15:modelTables>
        <x15:modelRelationships>
          <x15:modelRelationship fromTable="Sales" fromColumn="customer_id" toTable="Customers" toColumn="customer_id"/>
          <x15:modelRelationship fromTable="Products" fromColumn="category_id" toTable="Category" toColumn="category_id"/>
          <x15:modelRelationship fromTable="Sales_item" fromColumn="product_id" toTable="Products" toColumn="product_id"/>
          <x15:modelRelationship fromTable="Sales_item" fromColumn="sales_id" toTable="Sales" toColumn="sales_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" i="5" l="1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7" i="21"/>
  <c r="J7" i="21"/>
  <c r="C7" i="21"/>
  <c r="C110" i="2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8F4803F-A6FE-4B85-82FF-0E4266FCB2CB}" keepAlive="1" name="ThisWorkbookDataModel" description="資料模型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D27D29DC-EC79-4E36-A5E1-9A924ED4086D}" name="WorksheetConnection_活頁簿1!Category" type="102" refreshedVersion="8" minRefreshableVersion="5">
    <extLst>
      <ext xmlns:x15="http://schemas.microsoft.com/office/spreadsheetml/2010/11/main" uri="{DE250136-89BD-433C-8126-D09CA5730AF9}">
        <x15:connection id="Category">
          <x15:rangePr sourceName="_xlcn.WorksheetConnection_活頁簿1Category1"/>
        </x15:connection>
      </ext>
    </extLst>
  </connection>
  <connection id="3" xr16:uid="{F2E35A5D-8433-442A-8E0C-85ECE6BBB2D8}" name="WorksheetConnection_活頁簿1!Customers" type="102" refreshedVersion="8" minRefreshableVersion="5">
    <extLst>
      <ext xmlns:x15="http://schemas.microsoft.com/office/spreadsheetml/2010/11/main" uri="{DE250136-89BD-433C-8126-D09CA5730AF9}">
        <x15:connection id="Customers">
          <x15:rangePr sourceName="_xlcn.WorksheetConnection_活頁簿1Customers1"/>
        </x15:connection>
      </ext>
    </extLst>
  </connection>
  <connection id="4" xr16:uid="{A0E8C838-728F-42F4-BCB5-5C5667BEF9B5}" name="WorksheetConnection_活頁簿1!Products" type="102" refreshedVersion="8" minRefreshableVersion="5">
    <extLst>
      <ext xmlns:x15="http://schemas.microsoft.com/office/spreadsheetml/2010/11/main" uri="{DE250136-89BD-433C-8126-D09CA5730AF9}">
        <x15:connection id="Products">
          <x15:rangePr sourceName="_xlcn.WorksheetConnection_活頁簿1Products1"/>
        </x15:connection>
      </ext>
    </extLst>
  </connection>
  <connection id="5" xr16:uid="{E2FC2FBB-230C-4788-AEF8-AAD4039978D6}" name="WorksheetConnection_活頁簿1!Sales" type="102" refreshedVersion="8" minRefreshableVersion="5">
    <extLst>
      <ext xmlns:x15="http://schemas.microsoft.com/office/spreadsheetml/2010/11/main" uri="{DE250136-89BD-433C-8126-D09CA5730AF9}">
        <x15:connection id="Sales">
          <x15:rangePr sourceName="_xlcn.WorksheetConnection_活頁簿1Sales1"/>
        </x15:connection>
      </ext>
    </extLst>
  </connection>
  <connection id="6" xr16:uid="{4C8B67C9-2DF6-4501-8EE4-77362E37A65D}" name="WorksheetConnection_活頁簿1!Sales_item" type="102" refreshedVersion="8" minRefreshableVersion="5">
    <extLst>
      <ext xmlns:x15="http://schemas.microsoft.com/office/spreadsheetml/2010/11/main" uri="{DE250136-89BD-433C-8126-D09CA5730AF9}">
        <x15:connection id="Sales_item">
          <x15:rangePr sourceName="_xlcn.WorksheetConnection_活頁簿1Sales_item1"/>
        </x15:connection>
      </ext>
    </extLst>
  </connection>
  <connection id="7" xr16:uid="{21173F83-5B72-453B-88F0-4AAFF9529AF1}" keepAlive="1" name="查詢 - Category" description="與活頁簿中 'Category' 查詢的連接。" type="5" refreshedVersion="8" background="1" saveData="1">
    <dbPr connection="Provider=Microsoft.Mashup.OleDb.1;Data Source=$Workbook$;Location=Category;Extended Properties=&quot;&quot;" command="SELECT * FROM [Category]"/>
  </connection>
  <connection id="8" xr16:uid="{5D2FACFA-C004-45D4-AED6-FDA822CA7863}" keepAlive="1" name="查詢 - Customer_Data" description="與活頁簿中 'Customer_Data' 查詢的連接。" type="5" refreshedVersion="8" background="1" saveData="1">
    <dbPr connection="Provider=Microsoft.Mashup.OleDb.1;Data Source=$Workbook$;Location=Customer_Data;Extended Properties=&quot;&quot;" command="SELECT * FROM [Customer_Data]"/>
  </connection>
  <connection id="9" xr16:uid="{7790811D-5380-430F-96FE-59BA2D0452AD}" keepAlive="1" name="查詢 - Customers" description="與活頁簿中 'Customers' 查詢的連接。" type="5" refreshedVersion="8" background="1" saveData="1">
    <dbPr connection="Provider=Microsoft.Mashup.OleDb.1;Data Source=$Workbook$;Location=Customers;Extended Properties=&quot;&quot;" command="SELECT * FROM [Customers]"/>
  </connection>
  <connection id="10" xr16:uid="{1A36CEA1-3092-4939-9EB6-2352ED6940E0}" keepAlive="1" name="查詢 - Products" description="與活頁簿中 'Products' 查詢的連接。" type="5" refreshedVersion="8" background="1" saveData="1">
    <dbPr connection="Provider=Microsoft.Mashup.OleDb.1;Data Source=$Workbook$;Location=Products;Extended Properties=&quot;&quot;" command="SELECT * FROM [Products]"/>
  </connection>
  <connection id="11" xr16:uid="{BE0E0D2D-AEC3-4943-8721-E9209A937FDF}" keepAlive="1" name="查詢 - Products_Raw_Data" description="與活頁簿中 'Products_Raw_Data' 查詢的連接。" type="5" refreshedVersion="8" background="1" saveData="1">
    <dbPr connection="Provider=Microsoft.Mashup.OleDb.1;Data Source=$Workbook$;Location=Products_Raw_Data;Extended Properties=&quot;&quot;" command="SELECT * FROM [Products_Raw_Data]"/>
  </connection>
  <connection id="12" xr16:uid="{093446FB-17FC-4668-9B94-A64E1A2BE399}" keepAlive="1" name="查詢 - Sales" description="與活頁簿中 'Sales' 查詢的連接。" type="5" refreshedVersion="8" background="1" saveData="1">
    <dbPr connection="Provider=Microsoft.Mashup.OleDb.1;Data Source=$Workbook$;Location=Sales;Extended Properties=&quot;&quot;" command="SELECT * FROM [Sales]"/>
  </connection>
  <connection id="13" xr16:uid="{996DB195-F27A-4017-9C44-482CCFD3E598}" keepAlive="1" name="查詢 - Sales_item" description="與活頁簿中 'Sales_item' 查詢的連接。" type="5" refreshedVersion="8" background="1" saveData="1">
    <dbPr connection="Provider=Microsoft.Mashup.OleDb.1;Data Source=$Workbook$;Location=Sales_item;Extended Properties=&quot;&quot;" command="SELECT * FROM [Sales_item]"/>
  </connection>
  <connection id="14" xr16:uid="{6466B08C-84AB-4838-B59D-65C4709E0A44}" keepAlive="1" name="查詢 - Sales_Items_Raw_Data" description="與活頁簿中 'Sales_Items_Raw_Data' 查詢的連接。" type="5" refreshedVersion="8" background="1" saveData="1">
    <dbPr connection="Provider=Microsoft.Mashup.OleDb.1;Data Source=$Workbook$;Location=Sales_Items_Raw_Data;Extended Properties=&quot;&quot;" command="SELECT * FROM [Sales_Items_Raw_Data]"/>
  </connection>
  <connection id="15" xr16:uid="{A04E778B-AABA-4A10-9330-0ACF993B5400}" keepAlive="1" name="查詢 - Sales_Raw_Data" description="與活頁簿中 'Sales_Raw_Data' 查詢的連接。" type="5" refreshedVersion="8" background="1" saveData="1">
    <dbPr connection="Provider=Microsoft.Mashup.OleDb.1;Data Source=$Workbook$;Location=Sales_Raw_Data;Extended Properties=&quot;&quot;" command="SELECT * FROM [Sales_Raw_Data]"/>
  </connection>
</connections>
</file>

<file path=xl/sharedStrings.xml><?xml version="1.0" encoding="utf-8"?>
<sst xmlns="http://schemas.openxmlformats.org/spreadsheetml/2006/main" count="456" uniqueCount="298">
  <si>
    <t>category_id</t>
  </si>
  <si>
    <t>category_name</t>
  </si>
  <si>
    <t>category_description</t>
  </si>
  <si>
    <t>Beverages</t>
  </si>
  <si>
    <t>Drinks such as coffee, tea, and juice.</t>
  </si>
  <si>
    <t>Snacks</t>
  </si>
  <si>
    <t>Light foods like chips, cookies, and candy.</t>
  </si>
  <si>
    <t>Fresh Food</t>
  </si>
  <si>
    <t>Ready-to-eat items like sandwiches and salads.</t>
  </si>
  <si>
    <t>Frozen Food</t>
  </si>
  <si>
    <t>Frozen meals and ice cream products.</t>
  </si>
  <si>
    <t>Household Items</t>
  </si>
  <si>
    <t>Daily essentials for home use and cleaning.</t>
  </si>
  <si>
    <t>Personal Care</t>
  </si>
  <si>
    <t>Products for hygiene and personal grooming.</t>
  </si>
  <si>
    <t>Electronics Accessories</t>
  </si>
  <si>
    <t>Small electronic items like chargers and cables.</t>
  </si>
  <si>
    <t>Toys</t>
  </si>
  <si>
    <t>Entertainment items for kids and adults.</t>
  </si>
  <si>
    <t>Stationery</t>
  </si>
  <si>
    <t>Office and school supplies like pens and notebooks.</t>
  </si>
  <si>
    <t>Pet Supplies</t>
  </si>
  <si>
    <t>Food and accessories for pet</t>
  </si>
  <si>
    <t>product_id</t>
  </si>
  <si>
    <t>product_name</t>
  </si>
  <si>
    <t>product_price</t>
  </si>
  <si>
    <t>product_stock</t>
  </si>
  <si>
    <t>product_sku</t>
  </si>
  <si>
    <t>Cold Brew Coffee</t>
  </si>
  <si>
    <t>Organic Green Tea</t>
  </si>
  <si>
    <t>Sparkling Apple Juice</t>
  </si>
  <si>
    <t>Sea Salt Potato Chips</t>
  </si>
  <si>
    <t>Chocolate Chip Cookies</t>
  </si>
  <si>
    <t>Granola Bar Pack</t>
  </si>
  <si>
    <t>Chicken Caesar Wrap</t>
  </si>
  <si>
    <t>Garden Salad Bowl</t>
  </si>
  <si>
    <t>Frozen Pepperoni Pizza</t>
  </si>
  <si>
    <t>Vanilla Ice Cream Tub</t>
  </si>
  <si>
    <t>All-Purpose Cleaner</t>
  </si>
  <si>
    <t>Laundry Detergent</t>
  </si>
  <si>
    <t>Moisturizing Hand Soap</t>
  </si>
  <si>
    <t>USB-C Charging Cable</t>
  </si>
  <si>
    <t>Ballpoint Pen Set</t>
  </si>
  <si>
    <t>customer_id</t>
  </si>
  <si>
    <t>customer_name</t>
  </si>
  <si>
    <t>customer_email</t>
  </si>
  <si>
    <t>customer_join_date</t>
  </si>
  <si>
    <t>Emma Smith</t>
  </si>
  <si>
    <t>emma.smith45@gmail.com</t>
  </si>
  <si>
    <t>Liam Johnson</t>
  </si>
  <si>
    <t>liam.johnson64@hotmail.com</t>
  </si>
  <si>
    <t>Olivia Brown</t>
  </si>
  <si>
    <t>olivia.brown25@outlook.com</t>
  </si>
  <si>
    <t>Noah Taylor</t>
  </si>
  <si>
    <t>noah.taylor81@yahoo.com</t>
  </si>
  <si>
    <t>Ava Anderson</t>
  </si>
  <si>
    <t>ava.anderson38@yahoo.com</t>
  </si>
  <si>
    <t>Ethan Thomas</t>
  </si>
  <si>
    <t>ethan.thomas56@outlook.com</t>
  </si>
  <si>
    <t>Sophia Jackson</t>
  </si>
  <si>
    <t>sophia.jackson32@yahoo.com</t>
  </si>
  <si>
    <t>Mason White</t>
  </si>
  <si>
    <t>mason.white49@hotmail.com</t>
  </si>
  <si>
    <t>Isabella Harris</t>
  </si>
  <si>
    <t>isabella.harris40@hotmail.com</t>
  </si>
  <si>
    <t>Lucas Martin</t>
  </si>
  <si>
    <t>lucas.martin52@hotmail.com</t>
  </si>
  <si>
    <t>Mia Thompson</t>
  </si>
  <si>
    <t>mia.thompson44@hotmail.com</t>
  </si>
  <si>
    <t>Benjamin Garcia</t>
  </si>
  <si>
    <t>benjamin.garcia40@hotmail.com</t>
  </si>
  <si>
    <t>Charlotte Martinez</t>
  </si>
  <si>
    <t>charlotte.martinez42@outlook.com</t>
  </si>
  <si>
    <t>James Robinson</t>
  </si>
  <si>
    <t>james.robinson63@yahoo.com</t>
  </si>
  <si>
    <t>Amelia Clark</t>
  </si>
  <si>
    <t>amelia.clark46@outlook.com</t>
  </si>
  <si>
    <t>Elijah Rodriguez</t>
  </si>
  <si>
    <t>elijah.rodriguez99@gmail.com</t>
  </si>
  <si>
    <t>Harper Lewis</t>
  </si>
  <si>
    <t>harper.lewis58@gmail.com</t>
  </si>
  <si>
    <t>Alexander Lee</t>
  </si>
  <si>
    <t>alexander.lee16@yahoo.com</t>
  </si>
  <si>
    <t>Evelyn Walker</t>
  </si>
  <si>
    <t>evelyn.walker45@hotmail.com</t>
  </si>
  <si>
    <t>Henry Hall</t>
  </si>
  <si>
    <t>henry.hall56@gmail.com</t>
  </si>
  <si>
    <t>Abigail Allen</t>
  </si>
  <si>
    <t>abigail.allen46@gmail.com</t>
  </si>
  <si>
    <t>Daniel Young</t>
  </si>
  <si>
    <t>daniel.young8@yahoo.com</t>
  </si>
  <si>
    <t>Emily King</t>
  </si>
  <si>
    <t>emily.king69@hotmail.com</t>
  </si>
  <si>
    <t>Michael Wright</t>
  </si>
  <si>
    <t>michael.wright43@outlook.com</t>
  </si>
  <si>
    <t>Ella Scott</t>
  </si>
  <si>
    <t>ella.scott56@outlook.com</t>
  </si>
  <si>
    <t>Matthew Green</t>
  </si>
  <si>
    <t>matthew.green71@hotmail.com</t>
  </si>
  <si>
    <t>Scarlett Baker</t>
  </si>
  <si>
    <t>scarlett.baker23@outlook.com</t>
  </si>
  <si>
    <t>Jackson Adams</t>
  </si>
  <si>
    <t>jackson.adams76@gmail.com</t>
  </si>
  <si>
    <t>Grace Nelson</t>
  </si>
  <si>
    <t>grace.nelson65@outlook.com</t>
  </si>
  <si>
    <t>Sebastian Hill</t>
  </si>
  <si>
    <t>sebastian.hill77@yahoo.com</t>
  </si>
  <si>
    <t>Chloe Campbell</t>
  </si>
  <si>
    <t>chloe.campbell52@hotmail.com</t>
  </si>
  <si>
    <t>Aiden Mitchell</t>
  </si>
  <si>
    <t>aiden.mitchell87@hotmail.com</t>
  </si>
  <si>
    <t>Victoria Carter</t>
  </si>
  <si>
    <t>victoria.carter97@outlook.com</t>
  </si>
  <si>
    <t>Samuel Roberts</t>
  </si>
  <si>
    <t>samuel.roberts20@gmail.com</t>
  </si>
  <si>
    <t>Lily Phillips</t>
  </si>
  <si>
    <t>lily.phillips49@yahoo.com</t>
  </si>
  <si>
    <t>David Evans</t>
  </si>
  <si>
    <t>david.evans18@gmail.com</t>
  </si>
  <si>
    <t>Hannah Turner</t>
  </si>
  <si>
    <t>hannah.turner38@outlook.com</t>
  </si>
  <si>
    <t>Joseph Parker</t>
  </si>
  <si>
    <t>joseph.parker35@gmail.com</t>
  </si>
  <si>
    <t>Zoey Collins</t>
  </si>
  <si>
    <t>zoey.collins59@hotmail.com</t>
  </si>
  <si>
    <t>Carter Edwards</t>
  </si>
  <si>
    <t>carter.edwards66@outlook.com</t>
  </si>
  <si>
    <t>Nora Stewart</t>
  </si>
  <si>
    <t>nora.stewart7@yahoo.com</t>
  </si>
  <si>
    <t>Owen Morris</t>
  </si>
  <si>
    <t>owen.morris15@gmail.com</t>
  </si>
  <si>
    <t>Aria Murphy</t>
  </si>
  <si>
    <t>aria.murphy62@yahoo.com</t>
  </si>
  <si>
    <t>Wyatt Cook</t>
  </si>
  <si>
    <t>wyatt.cook96@outlook.com</t>
  </si>
  <si>
    <t>Layla Rogers</t>
  </si>
  <si>
    <t>layla.rogers62@hotmail.com</t>
  </si>
  <si>
    <t>sales_id</t>
  </si>
  <si>
    <t>sales_date</t>
  </si>
  <si>
    <t>sales_status</t>
  </si>
  <si>
    <t>Completed</t>
  </si>
  <si>
    <t>Processing</t>
  </si>
  <si>
    <t>Pending</t>
  </si>
  <si>
    <t>Cancelled</t>
  </si>
  <si>
    <t>sales_item</t>
  </si>
  <si>
    <t>sales_quantity</t>
  </si>
  <si>
    <t>Matcha Green Tea Powder</t>
  </si>
  <si>
    <t>Frozen Pizza</t>
  </si>
  <si>
    <t>Plush Toy - small</t>
  </si>
  <si>
    <t>Chicken Sandwich</t>
  </si>
  <si>
    <t>Shampoo</t>
  </si>
  <si>
    <t>Notebook</t>
  </si>
  <si>
    <t>Phone Charger</t>
  </si>
  <si>
    <t>Dog Food</t>
  </si>
  <si>
    <t>Dish Soap</t>
  </si>
  <si>
    <t>Honey Butter Popcorn</t>
  </si>
  <si>
    <t>Shela Geaveny</t>
  </si>
  <si>
    <t>sgeaveny0@dailymail.co.uk#mailto:sgeaveny0@dailymail.co.uk#</t>
  </si>
  <si>
    <t>Gavra Baggalley</t>
  </si>
  <si>
    <t>gbaggalley1@weebly.com#mailto:gbaggalley1@weebly.com#</t>
  </si>
  <si>
    <t>Gray Aldwick</t>
  </si>
  <si>
    <t>galdwick2@businesswire.com#mailto:galdwick2@businesswire.com#</t>
  </si>
  <si>
    <t>Star Skellem</t>
  </si>
  <si>
    <t>skellen4@gmail.com#mailto:skellen4@gmail.com#</t>
  </si>
  <si>
    <t>Basia Landells</t>
  </si>
  <si>
    <t>blandells5@eepurl.com#mailto:blandells5@eepurl.com#</t>
  </si>
  <si>
    <t>總計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</si>
  <si>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</si>
  <si>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</si>
  <si>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</si>
  <si>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</si>
  <si>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</si>
  <si>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</si>
  <si>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</si>
  <si>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</si>
  <si>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</si>
  <si>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</si>
  <si>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Dec</t>
  </si>
  <si>
    <t>Nov</t>
  </si>
  <si>
    <t>Sales_Month</t>
  </si>
  <si>
    <t>Total</t>
  </si>
  <si>
    <t>Revenue</t>
  </si>
  <si>
    <t>Category</t>
  </si>
  <si>
    <t>total_units_sold</t>
  </si>
  <si>
    <t>09:53 AM</t>
  </si>
  <si>
    <t>01:34 PM</t>
  </si>
  <si>
    <t>10:29 AM</t>
  </si>
  <si>
    <t>03:57 PM</t>
  </si>
  <si>
    <t>01:32 PM</t>
  </si>
  <si>
    <t>10:50 AM</t>
  </si>
  <si>
    <t>09:39 AM</t>
  </si>
  <si>
    <t>03:28 PM</t>
  </si>
  <si>
    <t>06:09 PM</t>
  </si>
  <si>
    <t>06:35 PM</t>
  </si>
  <si>
    <t>02:40 PM</t>
  </si>
  <si>
    <t>02:48 PM</t>
  </si>
  <si>
    <t>11:43 AM</t>
  </si>
  <si>
    <t>11:18 AM</t>
  </si>
  <si>
    <t>02:45 PM</t>
  </si>
  <si>
    <t>06:34 PM</t>
  </si>
  <si>
    <t>02:41 PM</t>
  </si>
  <si>
    <t>08:58 PM</t>
  </si>
  <si>
    <t>01:11 PM</t>
  </si>
  <si>
    <t>11:47 AM</t>
  </si>
  <si>
    <t>09:01 AM</t>
  </si>
  <si>
    <t>04:26 PM</t>
  </si>
  <si>
    <t>07:11 PM</t>
  </si>
  <si>
    <t>03:26 PM</t>
  </si>
  <si>
    <t>10:11 AM</t>
  </si>
  <si>
    <t>09:06 AM</t>
  </si>
  <si>
    <t>02:23 PM</t>
  </si>
  <si>
    <t>04:39 PM</t>
  </si>
  <si>
    <t>10:44 AM</t>
  </si>
  <si>
    <t>09:44 AM</t>
  </si>
  <si>
    <t>10:34 AM</t>
  </si>
  <si>
    <t>08:23 PM</t>
  </si>
  <si>
    <t>11:25 AM</t>
  </si>
  <si>
    <t>11:09 AM</t>
  </si>
  <si>
    <t>09:21 AM</t>
  </si>
  <si>
    <t>01:58 PM</t>
  </si>
  <si>
    <t>04:20 PM</t>
  </si>
  <si>
    <t>06:47 PM</t>
  </si>
  <si>
    <t>05:08 PM</t>
  </si>
  <si>
    <t>01:31 PM</t>
  </si>
  <si>
    <t>05:00 PM</t>
  </si>
  <si>
    <t>09:37 AM</t>
  </si>
  <si>
    <t>02:12 PM</t>
  </si>
  <si>
    <t>02:51 PM</t>
  </si>
  <si>
    <t>05:54 PM</t>
  </si>
  <si>
    <t>05:14 PM</t>
  </si>
  <si>
    <t>12:31 PM</t>
  </si>
  <si>
    <t>07:23 PM</t>
  </si>
  <si>
    <t>07:54 PM</t>
  </si>
  <si>
    <t>05:59 PM</t>
  </si>
  <si>
    <t>06:38 PM</t>
  </si>
  <si>
    <t>02:22 PM</t>
  </si>
  <si>
    <t>09:12 AM</t>
  </si>
  <si>
    <t>03:47 PM</t>
  </si>
  <si>
    <t>08:01 PM</t>
  </si>
  <si>
    <t>05:45 PM</t>
  </si>
  <si>
    <t>04:24 PM</t>
  </si>
  <si>
    <t>08:41 PM</t>
  </si>
  <si>
    <t>06:11 PM</t>
  </si>
  <si>
    <t>07:53 PM</t>
  </si>
  <si>
    <t>08:22 PM</t>
  </si>
  <si>
    <t>07:10 PM</t>
  </si>
  <si>
    <t>05:17 PM</t>
  </si>
  <si>
    <t>05:53 PM</t>
  </si>
  <si>
    <t>08:24 PM</t>
  </si>
  <si>
    <t>04:09 PM</t>
  </si>
  <si>
    <t>03:23 PM</t>
  </si>
  <si>
    <t>05:42 PM</t>
  </si>
  <si>
    <t>09:32 AM</t>
  </si>
  <si>
    <t>08:00 PM</t>
  </si>
  <si>
    <t>12:05 PM</t>
  </si>
  <si>
    <t>10:24 AM</t>
  </si>
  <si>
    <t>05:18 PM</t>
  </si>
  <si>
    <t>08:13 PM</t>
  </si>
  <si>
    <t>01:28 PM</t>
  </si>
  <si>
    <t>11:54 AM</t>
  </si>
  <si>
    <t>02:42 PM</t>
  </si>
  <si>
    <t>06:27 PM</t>
  </si>
  <si>
    <t>03:40 PM</t>
  </si>
  <si>
    <t>10:15 AM</t>
  </si>
  <si>
    <t>04:47 PM</t>
  </si>
  <si>
    <t>03:36 PM</t>
  </si>
  <si>
    <t>06:46 PM</t>
  </si>
  <si>
    <t>02:44 PM</t>
  </si>
  <si>
    <t>09:16 AM</t>
  </si>
  <si>
    <t>12:13 PM</t>
  </si>
  <si>
    <t>07:00 PM</t>
  </si>
  <si>
    <t>10:30 AM</t>
  </si>
  <si>
    <t>07:43 PM</t>
  </si>
  <si>
    <t>03:12 PM</t>
  </si>
  <si>
    <t>09:13 AM</t>
  </si>
  <si>
    <t>03:00 PM</t>
  </si>
  <si>
    <t>12:54 PM</t>
  </si>
  <si>
    <t>03:55 PM</t>
  </si>
  <si>
    <t>06:04 PM</t>
  </si>
  <si>
    <t>05:33 PM</t>
  </si>
  <si>
    <t>10:01 AM</t>
  </si>
  <si>
    <t>sales_time</t>
  </si>
  <si>
    <t>Count of sales_id</t>
  </si>
  <si>
    <t>Hour</t>
  </si>
  <si>
    <t>AAA
Retail</t>
  </si>
  <si>
    <t>Sales</t>
  </si>
  <si>
    <t>Total Revenue</t>
  </si>
  <si>
    <t>Number of Sales</t>
  </si>
  <si>
    <t>Avg per Sales</t>
  </si>
  <si>
    <t>Dashboard</t>
  </si>
  <si>
    <t>Data - Categories</t>
  </si>
  <si>
    <t>Data - Products</t>
  </si>
  <si>
    <t>Data - Customers</t>
  </si>
  <si>
    <t>Data - Sales</t>
  </si>
  <si>
    <t>Data - Sales_item</t>
  </si>
  <si>
    <t>2024</t>
  </si>
  <si>
    <t>2025</t>
  </si>
  <si>
    <t>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</si>
</sst>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[$-F400]h:mm:ss\ AM/PM"/>
  </numFmts>
  <fonts count="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20"/>
      <color theme="4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u/>
      <sz val="12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23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164" fontId="0" fillId="0" borderId="0" xfId="0" applyNumberFormat="1"/>
    <xf numFmtId="164" fontId="0" fillId="0" borderId="0" xfId="0" applyNumberFormat="1" applyAlignment="1">
      <alignment vertical="center"/>
    </xf>
    <xf numFmtId="44" fontId="0" fillId="0" borderId="0" xfId="1" applyFont="1"/>
    <xf numFmtId="44" fontId="0" fillId="0" borderId="0" xfId="0" applyNumberFormat="1"/>
    <xf numFmtId="0" fontId="2" fillId="0" borderId="0" xfId="0" applyFont="1" applyAlignment="1">
      <alignment horizontal="left"/>
    </xf>
    <xf numFmtId="0" fontId="7" fillId="2" borderId="0" xfId="2" applyFont="1" applyFill="1" applyAlignment="1">
      <alignment horizontal="center" vertical="center" wrapText="1"/>
    </xf>
    <xf numFmtId="0" fontId="3" fillId="0" borderId="0" xfId="0" applyFont="1"/>
    <xf numFmtId="44" fontId="5" fillId="3" borderId="0" xfId="1" applyFont="1" applyFill="1" applyAlignment="1">
      <alignment vertical="center"/>
    </xf>
    <xf numFmtId="0" fontId="7" fillId="2" borderId="0" xfId="2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7" fillId="2" borderId="1" xfId="2" applyFont="1" applyFill="1" applyBorder="1" applyAlignment="1">
      <alignment horizontal="center" vertical="center" wrapText="1"/>
    </xf>
    <xf numFmtId="0" fontId="7" fillId="2" borderId="2" xfId="2" applyFont="1" applyFill="1" applyBorder="1" applyAlignment="1">
      <alignment horizontal="center" vertical="center" wrapText="1"/>
    </xf>
    <xf numFmtId="0" fontId="7" fillId="2" borderId="3" xfId="2" applyFont="1" applyFill="1" applyBorder="1" applyAlignment="1">
      <alignment horizontal="center" vertical="center" wrapText="1"/>
    </xf>
    <xf numFmtId="0" fontId="7" fillId="2" borderId="0" xfId="2" applyFont="1" applyFill="1" applyAlignment="1">
      <alignment horizontal="center" vertical="center"/>
    </xf>
    <xf numFmtId="0" fontId="5" fillId="3" borderId="0" xfId="1" applyNumberFormat="1" applyFont="1" applyFill="1" applyAlignment="1">
      <alignment horizontal="center" vertical="center"/>
    </xf>
    <xf numFmtId="44" fontId="5" fillId="3" borderId="0" xfId="1" applyFont="1" applyFill="1" applyAlignment="1">
      <alignment horizontal="center" vertical="center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3">
    <cellStyle name="一般" xfId="0" builtinId="0"/>
    <cellStyle name="貨幣" xfId="1" builtinId="4"/>
    <cellStyle name="超連結" xfId="2" builtinId="8"/>
  </cellStyles>
  <dxfs count="37"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font>
        <b/>
      </font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font>
        <b/>
      </font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font>
        <b/>
      </font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font>
        <b/>
      </font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font>
        <b/>
      </font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font>
        <b/>
      </font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font>
        <b/>
      </font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font>
        <b/>
      </font>
    </dxf>
    <dxf>
      <font>
        <b/>
      </font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0" formatCode="General"/>
    </dxf>
    <dxf>
      <numFmt numFmtId="164" formatCode="[$-F400]h:mm:ss\ AM/PM"/>
      <alignment horizontal="general" vertical="center" textRotation="0" wrapText="0" indent="0" justifyLastLine="0" shrinkToFit="0" readingOrder="0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3.xml"/><Relationship Id="rId18" Type="http://schemas.microsoft.com/office/2007/relationships/slicerCache" Target="slicerCaches/slicerCache2.xml"/><Relationship Id="rId26" Type="http://schemas.openxmlformats.org/officeDocument/2006/relationships/calcChain" Target="calcChain.xml"/><Relationship Id="rId39" Type="http://schemas.openxmlformats.org/officeDocument/2006/relationships/customXml" Target="../customXml/item13.xml"/><Relationship Id="rId21" Type="http://schemas.openxmlformats.org/officeDocument/2006/relationships/theme" Target="theme/theme1.xml"/><Relationship Id="rId34" Type="http://schemas.openxmlformats.org/officeDocument/2006/relationships/customXml" Target="../customXml/item8.xml"/><Relationship Id="rId42" Type="http://schemas.openxmlformats.org/officeDocument/2006/relationships/customXml" Target="../customXml/item16.xml"/><Relationship Id="rId47" Type="http://schemas.openxmlformats.org/officeDocument/2006/relationships/customXml" Target="../customXml/item2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6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24" Type="http://schemas.openxmlformats.org/officeDocument/2006/relationships/sharedStrings" Target="sharedStrings.xml"/><Relationship Id="rId32" Type="http://schemas.openxmlformats.org/officeDocument/2006/relationships/customXml" Target="../customXml/item6.xml"/><Relationship Id="rId37" Type="http://schemas.openxmlformats.org/officeDocument/2006/relationships/customXml" Target="../customXml/item11.xml"/><Relationship Id="rId40" Type="http://schemas.openxmlformats.org/officeDocument/2006/relationships/customXml" Target="../customXml/item14.xml"/><Relationship Id="rId45" Type="http://schemas.openxmlformats.org/officeDocument/2006/relationships/customXml" Target="../customXml/item19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5.xml"/><Relationship Id="rId23" Type="http://schemas.openxmlformats.org/officeDocument/2006/relationships/styles" Target="styles.xml"/><Relationship Id="rId28" Type="http://schemas.openxmlformats.org/officeDocument/2006/relationships/customXml" Target="../customXml/item2.xml"/><Relationship Id="rId36" Type="http://schemas.openxmlformats.org/officeDocument/2006/relationships/customXml" Target="../customXml/item10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7.xml"/><Relationship Id="rId31" Type="http://schemas.openxmlformats.org/officeDocument/2006/relationships/customXml" Target="../customXml/item5.xml"/><Relationship Id="rId44" Type="http://schemas.openxmlformats.org/officeDocument/2006/relationships/customXml" Target="../customXml/item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4.xml"/><Relationship Id="rId22" Type="http://schemas.openxmlformats.org/officeDocument/2006/relationships/connections" Target="connections.xml"/><Relationship Id="rId27" Type="http://schemas.openxmlformats.org/officeDocument/2006/relationships/customXml" Target="../customXml/item1.xml"/><Relationship Id="rId30" Type="http://schemas.openxmlformats.org/officeDocument/2006/relationships/customXml" Target="../customXml/item4.xml"/><Relationship Id="rId35" Type="http://schemas.openxmlformats.org/officeDocument/2006/relationships/customXml" Target="../customXml/item9.xml"/><Relationship Id="rId43" Type="http://schemas.openxmlformats.org/officeDocument/2006/relationships/customXml" Target="../customXml/item17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2.xml"/><Relationship Id="rId17" Type="http://schemas.microsoft.com/office/2007/relationships/slicerCache" Target="slicerCaches/slicerCache1.xml"/><Relationship Id="rId25" Type="http://schemas.openxmlformats.org/officeDocument/2006/relationships/powerPivotData" Target="model/item.data"/><Relationship Id="rId33" Type="http://schemas.openxmlformats.org/officeDocument/2006/relationships/customXml" Target="../customXml/item7.xml"/><Relationship Id="rId38" Type="http://schemas.openxmlformats.org/officeDocument/2006/relationships/customXml" Target="../customXml/item12.xml"/><Relationship Id="rId46" Type="http://schemas.openxmlformats.org/officeDocument/2006/relationships/customXml" Target="../customXml/item20.xml"/><Relationship Id="rId20" Type="http://schemas.microsoft.com/office/2011/relationships/timelineCache" Target="timelineCaches/timelineCache1.xml"/><Relationship Id="rId41" Type="http://schemas.openxmlformats.org/officeDocument/2006/relationships/customXml" Target="../customXml/item15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[Kung_RetailStoreVisualizations.xlsx]Pivot_Combo!樞紐分析表1</c:name>
    <c:fmtId val="24"/>
  </c:pivotSource>
  <c:chart>
    <c:title>
      <c:tx>
        <c:rich>
          <a:bodyPr/>
          <a:lstStyle/>
          <a:p>
            <a:pPr>
              <a:defRPr/>
            </a:pPr>
            <a:r>
              <a:rPr lang="en-US" altLang="ja-JP">
                <a:solidFill>
                  <a:schemeClr val="accent1"/>
                </a:solidFill>
              </a:rPr>
              <a:t>Monthly</a:t>
            </a:r>
            <a:r>
              <a:rPr lang="en-US" altLang="ja-JP" baseline="0">
                <a:solidFill>
                  <a:schemeClr val="accent1"/>
                </a:solidFill>
              </a:rPr>
              <a:t> </a:t>
            </a:r>
            <a:r>
              <a:rPr lang="en-US" altLang="ja-JP">
                <a:solidFill>
                  <a:schemeClr val="accent1"/>
                </a:solidFill>
              </a:rPr>
              <a:t>Units</a:t>
            </a:r>
            <a:r>
              <a:rPr lang="en-US" altLang="ja-JP" baseline="0">
                <a:solidFill>
                  <a:schemeClr val="accent1"/>
                </a:solidFill>
              </a:rPr>
              <a:t> Sold and Revenue</a:t>
            </a:r>
            <a:endParaRPr lang="ja-JP" altLang="en-US">
              <a:solidFill>
                <a:schemeClr val="accent1"/>
              </a:solidFill>
            </a:endParaRPr>
          </a:p>
        </c:rich>
      </c:tx>
      <c:layout>
        <c:manualLayout>
          <c:xMode val="edge"/>
          <c:yMode val="edge"/>
          <c:x val="0.30569978997319397"/>
          <c:y val="2.0031668411676532E-2"/>
        </c:manualLayout>
      </c:layout>
      <c:overlay val="0"/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</c:pivotFmt>
      <c:pivotFmt>
        <c:idx val="9"/>
      </c:pivotFmt>
      <c:pivotFmt>
        <c:idx val="10"/>
        <c:dLbl>
          <c:idx val="0"/>
          <c:layout>
            <c:manualLayout>
              <c:x val="-2.7241576993141621E-2"/>
              <c:y val="-4.8519030046098137E-2"/>
            </c:manualLayout>
          </c:layout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b="1">
                  <a:solidFill>
                    <a:schemeClr val="accent2">
                      <a:lumMod val="75000"/>
                    </a:schemeClr>
                  </a:solidFill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layout>
            <c:manualLayout>
              <c:x val="-2.3691784435355797E-2"/>
              <c:y val="-2.1563969323980175E-2"/>
            </c:manualLayout>
          </c:layout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layout>
            <c:manualLayout>
              <c:x val="-2.7245552100659116E-2"/>
              <c:y val="-0.10781984661990089"/>
            </c:manualLayout>
          </c:layout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b="1">
                  <a:solidFill>
                    <a:schemeClr val="accent2">
                      <a:lumMod val="75000"/>
                    </a:schemeClr>
                  </a:solidFill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layout>
            <c:manualLayout>
              <c:x val="-2.1322605991820155E-2"/>
              <c:y val="-2.4259465489477695E-2"/>
            </c:manualLayout>
          </c:layout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layout>
            <c:manualLayout>
              <c:x val="-2.1322605991820179E-2"/>
              <c:y val="-0.11860183128189096"/>
            </c:manualLayout>
          </c:layout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layout>
            <c:manualLayout>
              <c:x val="-2.6060962878891415E-2"/>
              <c:y val="-0.10242885428890583"/>
            </c:manualLayout>
          </c:layout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b="1">
                  <a:solidFill>
                    <a:srgbClr val="C00000"/>
                  </a:solidFill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C00000"/>
          </a:solidFill>
          <a:ln>
            <a:noFill/>
          </a:ln>
          <a:effectLst/>
        </c:spPr>
      </c:pivotFmt>
      <c:pivotFmt>
        <c:idx val="17"/>
        <c:dLbl>
          <c:idx val="0"/>
          <c:layout>
            <c:manualLayout>
              <c:x val="-2.4872914515234171E-2"/>
              <c:y val="-3.9846162438057997E-2"/>
            </c:manualLayout>
          </c:layout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layout>
            <c:manualLayout>
              <c:x val="-2.6057339015959607E-2"/>
              <c:y val="-6.375385990089287E-2"/>
            </c:manualLayout>
          </c:layout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layout>
            <c:manualLayout>
              <c:x val="-2.3688490014508734E-2"/>
              <c:y val="-8.7661557363727688E-2"/>
            </c:manualLayout>
          </c:layout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layout>
            <c:manualLayout>
              <c:x val="-2.6057339015959607E-2"/>
              <c:y val="-6.9066681559300555E-2"/>
            </c:manualLayout>
          </c:layout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layout>
            <c:manualLayout>
              <c:x val="-2.3688490014508734E-2"/>
              <c:y val="-7.1723092388504481E-2"/>
            </c:manualLayout>
          </c:layout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layout>
            <c:manualLayout>
              <c:x val="-2.4872914515234344E-2"/>
              <c:y val="-8.2348735705319948E-2"/>
            </c:manualLayout>
          </c:layout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</c:pivotFmt>
      <c:pivotFmt>
        <c:idx val="25"/>
        <c:spPr>
          <a:solidFill>
            <a:srgbClr val="C00000"/>
          </a:solidFill>
          <a:ln>
            <a:noFill/>
          </a:ln>
          <a:effectLst/>
        </c:spPr>
      </c:pivotFmt>
      <c:pivotFmt>
        <c:idx val="26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layout>
            <c:manualLayout>
              <c:x val="-2.7245552100659116E-2"/>
              <c:y val="-0.10781984661990089"/>
            </c:manualLayout>
          </c:layout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b="1">
                  <a:solidFill>
                    <a:schemeClr val="accent2">
                      <a:lumMod val="75000"/>
                    </a:schemeClr>
                  </a:solidFill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layout>
            <c:manualLayout>
              <c:x val="-2.1322605991820155E-2"/>
              <c:y val="-2.4259465489477695E-2"/>
            </c:manualLayout>
          </c:layout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dLbl>
          <c:idx val="0"/>
          <c:layout>
            <c:manualLayout>
              <c:x val="-2.3691784435355797E-2"/>
              <c:y val="-2.1563969323980175E-2"/>
            </c:manualLayout>
          </c:layout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dLbl>
          <c:idx val="0"/>
          <c:layout>
            <c:manualLayout>
              <c:x val="-2.7241576993141621E-2"/>
              <c:y val="-4.8519030046098137E-2"/>
            </c:manualLayout>
          </c:layout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b="1">
                  <a:solidFill>
                    <a:schemeClr val="accent2">
                      <a:lumMod val="75000"/>
                    </a:schemeClr>
                  </a:solidFill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dLbl>
          <c:idx val="0"/>
          <c:layout>
            <c:manualLayout>
              <c:x val="-2.1322605991820179E-2"/>
              <c:y val="-0.11860183128189096"/>
            </c:manualLayout>
          </c:layout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dLbl>
          <c:idx val="0"/>
          <c:layout>
            <c:manualLayout>
              <c:x val="-2.6060962878891415E-2"/>
              <c:y val="-0.10242885428890583"/>
            </c:manualLayout>
          </c:layout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b="1">
                  <a:solidFill>
                    <a:srgbClr val="C00000"/>
                  </a:solidFill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dLbl>
          <c:idx val="0"/>
          <c:layout>
            <c:manualLayout>
              <c:x val="-2.6057339015959607E-2"/>
              <c:y val="-6.375385990089287E-2"/>
            </c:manualLayout>
          </c:layout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dLbl>
          <c:idx val="0"/>
          <c:layout>
            <c:manualLayout>
              <c:x val="-2.4872914515234171E-2"/>
              <c:y val="-3.9846162438057997E-2"/>
            </c:manualLayout>
          </c:layout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dLbl>
          <c:idx val="0"/>
          <c:layout>
            <c:manualLayout>
              <c:x val="-2.3688490014508734E-2"/>
              <c:y val="-8.7661557363727688E-2"/>
            </c:manualLayout>
          </c:layout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dLbl>
          <c:idx val="0"/>
          <c:layout>
            <c:manualLayout>
              <c:x val="-2.6057339015959607E-2"/>
              <c:y val="-6.9066681559300555E-2"/>
            </c:manualLayout>
          </c:layout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dLbl>
          <c:idx val="0"/>
          <c:layout>
            <c:manualLayout>
              <c:x val="-2.3688490014508734E-2"/>
              <c:y val="-7.1723092388504481E-2"/>
            </c:manualLayout>
          </c:layout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dLbl>
          <c:idx val="0"/>
          <c:layout>
            <c:manualLayout>
              <c:x val="-2.4872914515234344E-2"/>
              <c:y val="-8.2348735705319948E-2"/>
            </c:manualLayout>
          </c:layout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</c:pivotFmt>
      <c:pivotFmt>
        <c:idx val="41"/>
        <c:spPr>
          <a:solidFill>
            <a:srgbClr val="C00000"/>
          </a:solidFill>
          <a:ln>
            <a:noFill/>
          </a:ln>
          <a:effectLst/>
        </c:spPr>
      </c:pivotFmt>
      <c:pivotFmt>
        <c:idx val="4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dLbl>
          <c:idx val="0"/>
          <c:layout>
            <c:manualLayout>
              <c:x val="-3.0378151923813133E-2"/>
              <c:y val="-0.14557909330523752"/>
            </c:manualLayout>
          </c:layout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b="1">
                  <a:solidFill>
                    <a:schemeClr val="accent2">
                      <a:lumMod val="75000"/>
                    </a:schemeClr>
                  </a:solidFill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dLbl>
          <c:idx val="0"/>
          <c:layout>
            <c:manualLayout>
              <c:x val="-3.2286992307904848E-2"/>
              <c:y val="-4.3094667314483755E-2"/>
            </c:manualLayout>
          </c:layout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dLbl>
          <c:idx val="0"/>
          <c:layout>
            <c:manualLayout>
              <c:x val="-3.578215465492135E-2"/>
              <c:y val="-4.0418862392853638E-2"/>
            </c:manualLayout>
          </c:layout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dLbl>
          <c:idx val="0"/>
          <c:layout>
            <c:manualLayout>
              <c:x val="-3.4339554604094755E-2"/>
              <c:y val="-6.7403426973325964E-2"/>
            </c:manualLayout>
          </c:layout>
          <c:tx>
            <c:rich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chemeClr val="accent2">
                        <a:lumMod val="75000"/>
                      </a:schemeClr>
                    </a:solidFill>
                  </a:defRPr>
                </a:pPr>
                <a:fld id="{C4A7D430-514E-47E3-AF21-6D59A261D4E7}" type="VALUE">
                  <a:rPr lang="en-US" b="0">
                    <a:solidFill>
                      <a:schemeClr val="tx1"/>
                    </a:solidFill>
                  </a:rPr>
                  <a:pPr>
                    <a:defRPr b="1">
                      <a:solidFill>
                        <a:schemeClr val="accent2">
                          <a:lumMod val="75000"/>
                        </a:schemeClr>
                      </a:solidFill>
                    </a:defRPr>
                  </a:pPr>
                  <a:t>[值]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47"/>
        <c:dLbl>
          <c:idx val="0"/>
          <c:layout>
            <c:manualLayout>
              <c:x val="-2.1322605991820179E-2"/>
              <c:y val="-0.11860183128189096"/>
            </c:manualLayout>
          </c:layout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dLbl>
          <c:idx val="0"/>
          <c:layout>
            <c:manualLayout>
              <c:x val="-2.9193652146801013E-2"/>
              <c:y val="-0.12126429928674858"/>
            </c:manualLayout>
          </c:layout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b="1">
                  <a:solidFill>
                    <a:srgbClr val="C00000"/>
                  </a:solidFill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dLbl>
          <c:idx val="0"/>
          <c:layout>
            <c:manualLayout>
              <c:x val="-2.7623733606444208E-2"/>
              <c:y val="-9.0123399663396206E-2"/>
            </c:manualLayout>
          </c:layout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dLbl>
          <c:idx val="0"/>
          <c:layout>
            <c:manualLayout>
              <c:x val="-3.2704601246364116E-2"/>
              <c:y val="-5.1147294740757555E-2"/>
            </c:manualLayout>
          </c:layout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dLbl>
          <c:idx val="0"/>
          <c:layout>
            <c:manualLayout>
              <c:x val="-2.8387541094890337E-2"/>
              <c:y val="-0.10649679858524348"/>
            </c:manualLayout>
          </c:layout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dLbl>
          <c:idx val="0"/>
          <c:layout>
            <c:manualLayout>
              <c:x val="-2.7623733606444153E-2"/>
              <c:y val="-8.7902015885756385E-2"/>
            </c:manualLayout>
          </c:layout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dLbl>
          <c:idx val="0"/>
          <c:layout>
            <c:manualLayout>
              <c:x val="-2.9953882949123243E-2"/>
              <c:y val="-9.4325608767124661E-2"/>
            </c:manualLayout>
          </c:layout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dLbl>
          <c:idx val="0"/>
          <c:layout>
            <c:manualLayout>
              <c:x val="-3.4270943100597251E-2"/>
              <c:y val="-0.12001938705350601"/>
            </c:manualLayout>
          </c:layout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</c:pivotFmt>
      <c:pivotFmt>
        <c:idx val="57"/>
        <c:spPr>
          <a:solidFill>
            <a:srgbClr val="C00000"/>
          </a:solidFill>
          <a:ln>
            <a:noFill/>
          </a:ln>
          <a:effectLst/>
        </c:spPr>
      </c:pivotFmt>
      <c:pivotFmt>
        <c:idx val="5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dLbl>
          <c:idx val="0"/>
          <c:layout>
            <c:manualLayout>
              <c:x val="-3.0378151923813133E-2"/>
              <c:y val="-0.14557909330523752"/>
            </c:manualLayout>
          </c:layout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b="1">
                  <a:solidFill>
                    <a:schemeClr val="accent2">
                      <a:lumMod val="75000"/>
                    </a:schemeClr>
                  </a:solidFill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dLbl>
          <c:idx val="0"/>
          <c:layout>
            <c:manualLayout>
              <c:x val="-3.2286992307904848E-2"/>
              <c:y val="-4.3094667314483755E-2"/>
            </c:manualLayout>
          </c:layout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dLbl>
          <c:idx val="0"/>
          <c:layout>
            <c:manualLayout>
              <c:x val="-3.578215465492135E-2"/>
              <c:y val="-4.0418862392853638E-2"/>
            </c:manualLayout>
          </c:layout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dLbl>
          <c:idx val="0"/>
          <c:layout>
            <c:manualLayout>
              <c:x val="-3.4339554604094755E-2"/>
              <c:y val="-6.7403426973325964E-2"/>
            </c:manualLayout>
          </c:layout>
          <c:tx>
            <c:rich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chemeClr val="accent2">
                        <a:lumMod val="75000"/>
                      </a:schemeClr>
                    </a:solidFill>
                  </a:defRPr>
                </a:pPr>
                <a:fld id="{C4A7D430-514E-47E3-AF21-6D59A261D4E7}" type="VALUE">
                  <a:rPr lang="en-US" b="0">
                    <a:solidFill>
                      <a:schemeClr val="tx1"/>
                    </a:solidFill>
                  </a:rPr>
                  <a:pPr>
                    <a:defRPr b="1">
                      <a:solidFill>
                        <a:schemeClr val="accent2">
                          <a:lumMod val="75000"/>
                        </a:schemeClr>
                      </a:solidFill>
                    </a:defRPr>
                  </a:pPr>
                  <a:t>[值]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63"/>
        <c:dLbl>
          <c:idx val="0"/>
          <c:layout>
            <c:manualLayout>
              <c:x val="-2.1322605991820179E-2"/>
              <c:y val="-0.11860183128189096"/>
            </c:manualLayout>
          </c:layout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dLbl>
          <c:idx val="0"/>
          <c:layout>
            <c:manualLayout>
              <c:x val="-2.9193652146801013E-2"/>
              <c:y val="-0.12126429928674858"/>
            </c:manualLayout>
          </c:layout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b="1">
                  <a:solidFill>
                    <a:srgbClr val="C00000"/>
                  </a:solidFill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dLbl>
          <c:idx val="0"/>
          <c:layout>
            <c:manualLayout>
              <c:x val="-2.7623733606444208E-2"/>
              <c:y val="-9.0123399663396206E-2"/>
            </c:manualLayout>
          </c:layout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dLbl>
          <c:idx val="0"/>
          <c:layout>
            <c:manualLayout>
              <c:x val="-3.2704601246364116E-2"/>
              <c:y val="-5.1147294740757555E-2"/>
            </c:manualLayout>
          </c:layout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dLbl>
          <c:idx val="0"/>
          <c:layout>
            <c:manualLayout>
              <c:x val="-2.8387541094890337E-2"/>
              <c:y val="-0.10649679858524348"/>
            </c:manualLayout>
          </c:layout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dLbl>
          <c:idx val="0"/>
          <c:layout>
            <c:manualLayout>
              <c:x val="-2.7623733606444153E-2"/>
              <c:y val="-8.7902015885756385E-2"/>
            </c:manualLayout>
          </c:layout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dLbl>
          <c:idx val="0"/>
          <c:layout>
            <c:manualLayout>
              <c:x val="-2.9953882949123243E-2"/>
              <c:y val="-9.4325608767124661E-2"/>
            </c:manualLayout>
          </c:layout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dLbl>
          <c:idx val="0"/>
          <c:layout>
            <c:manualLayout>
              <c:x val="-3.4270943100597251E-2"/>
              <c:y val="-0.12001938705350601"/>
            </c:manualLayout>
          </c:layout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</c:pivotFmt>
      <c:pivotFmt>
        <c:idx val="73"/>
        <c:spPr>
          <a:solidFill>
            <a:srgbClr val="C00000"/>
          </a:solidFill>
          <a:ln>
            <a:noFill/>
          </a:ln>
          <a:effectLst/>
        </c:spPr>
      </c:pivotFmt>
      <c:pivotFmt>
        <c:idx val="7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dLbl>
          <c:idx val="0"/>
          <c:layout>
            <c:manualLayout>
              <c:x val="-3.0378151923813133E-2"/>
              <c:y val="-0.14557909330523752"/>
            </c:manualLayout>
          </c:layout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dLbl>
          <c:idx val="0"/>
          <c:layout>
            <c:manualLayout>
              <c:x val="-3.2286992307904848E-2"/>
              <c:y val="-4.3094667314483755E-2"/>
            </c:manualLayout>
          </c:layout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dLbl>
          <c:idx val="0"/>
          <c:layout>
            <c:manualLayout>
              <c:x val="-3.578215465492135E-2"/>
              <c:y val="-4.0418862392853638E-2"/>
            </c:manualLayout>
          </c:layout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dLbl>
          <c:idx val="0"/>
          <c:layout>
            <c:manualLayout>
              <c:x val="-3.4339554604094755E-2"/>
              <c:y val="-6.7403426973325964E-2"/>
            </c:manualLayout>
          </c:layout>
          <c:tx>
            <c:rich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fld id="{C4A7D430-514E-47E3-AF21-6D59A261D4E7}" type="VALUE">
                  <a:rPr lang="en-US" b="0">
                    <a:solidFill>
                      <a:schemeClr val="tx1"/>
                    </a:solidFill>
                  </a:rPr>
                  <a:pPr>
                    <a:defRPr/>
                  </a:pPr>
                  <a:t>[值]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79"/>
        <c:dLbl>
          <c:idx val="0"/>
          <c:layout>
            <c:manualLayout>
              <c:x val="-2.1322605991820179E-2"/>
              <c:y val="-0.11860183128189096"/>
            </c:manualLayout>
          </c:layout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dLbl>
          <c:idx val="0"/>
          <c:layout>
            <c:manualLayout>
              <c:x val="-2.9193652146801013E-2"/>
              <c:y val="-0.12126429928674858"/>
            </c:manualLayout>
          </c:layout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dLbl>
          <c:idx val="0"/>
          <c:layout>
            <c:manualLayout>
              <c:x val="-2.7623733606444208E-2"/>
              <c:y val="-9.0123399663396206E-2"/>
            </c:manualLayout>
          </c:layout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dLbl>
          <c:idx val="0"/>
          <c:layout>
            <c:manualLayout>
              <c:x val="-3.2704601246364116E-2"/>
              <c:y val="-5.1147294740757555E-2"/>
            </c:manualLayout>
          </c:layout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dLbl>
          <c:idx val="0"/>
          <c:layout>
            <c:manualLayout>
              <c:x val="-2.8387541094890337E-2"/>
              <c:y val="-0.10649679858524348"/>
            </c:manualLayout>
          </c:layout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dLbl>
          <c:idx val="0"/>
          <c:layout>
            <c:manualLayout>
              <c:x val="-2.7623733606444153E-2"/>
              <c:y val="-8.7902015885756385E-2"/>
            </c:manualLayout>
          </c:layout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dLbl>
          <c:idx val="0"/>
          <c:layout>
            <c:manualLayout>
              <c:x val="-2.9953882949123243E-2"/>
              <c:y val="-9.4325608767124661E-2"/>
            </c:manualLayout>
          </c:layout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dLbl>
          <c:idx val="0"/>
          <c:layout>
            <c:manualLayout>
              <c:x val="-3.4270943100597251E-2"/>
              <c:y val="-0.12001938705350601"/>
            </c:manualLayout>
          </c:layout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6612185751328299E-2"/>
          <c:y val="0.18489137449508244"/>
          <c:w val="0.82927648442605706"/>
          <c:h val="0.6276042782275914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Pivot_Combo!$C$1</c:f>
              <c:strCache>
                <c:ptCount val="1"/>
                <c:pt idx="0">
                  <c:v>sales_quantity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AE05-4FC7-8843-20978CCFA025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AE05-4FC7-8843-20978CCFA02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Pivot_Combo!$B$2:$B$31</c:f>
              <c:multiLvlStrCache>
                <c:ptCount val="26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Dec</c:v>
                  </c:pt>
                  <c:pt idx="11">
                    <c:v>Jan</c:v>
                  </c:pt>
                  <c:pt idx="12">
                    <c:v>Mar</c:v>
                  </c:pt>
                  <c:pt idx="13">
                    <c:v>Apr</c:v>
                  </c:pt>
                  <c:pt idx="14">
                    <c:v>May</c:v>
                  </c:pt>
                  <c:pt idx="15">
                    <c:v>Jun</c:v>
                  </c:pt>
                  <c:pt idx="16">
                    <c:v>Jul</c:v>
                  </c:pt>
                  <c:pt idx="17">
                    <c:v>Aug</c:v>
                  </c:pt>
                  <c:pt idx="18">
                    <c:v>Sep</c:v>
                  </c:pt>
                  <c:pt idx="19">
                    <c:v>Oct</c:v>
                  </c:pt>
                  <c:pt idx="20">
                    <c:v>Nov</c:v>
                  </c:pt>
                  <c:pt idx="21">
                    <c:v>Dec</c:v>
                  </c:pt>
                  <c:pt idx="22">
                    <c:v>Jan</c:v>
                  </c:pt>
                  <c:pt idx="23">
                    <c:v>Feb</c:v>
                  </c:pt>
                  <c:pt idx="24">
                    <c:v>Mar</c:v>
                  </c:pt>
                  <c:pt idx="25">
                    <c:v>Apr</c:v>
                  </c:pt>
                </c:lvl>
                <c:lvl>
                  <c:pt idx="0">
                    <c:v>2024</c:v>
                  </c:pt>
                  <c:pt idx="11">
                    <c:v>2025</c:v>
                  </c:pt>
                  <c:pt idx="22">
                    <c:v>2026</c:v>
                  </c:pt>
                </c:lvl>
              </c:multiLvlStrCache>
            </c:multiLvlStrRef>
          </c:cat>
          <c:val>
            <c:numRef>
              <c:f>Pivot_Combo!$C$2:$C$31</c:f>
              <c:numCache>
                <c:formatCode>General</c:formatCode>
                <c:ptCount val="26"/>
                <c:pt idx="0">
                  <c:v>46</c:v>
                </c:pt>
                <c:pt idx="1">
                  <c:v>38</c:v>
                </c:pt>
                <c:pt idx="2">
                  <c:v>31</c:v>
                </c:pt>
                <c:pt idx="3">
                  <c:v>71</c:v>
                </c:pt>
                <c:pt idx="4">
                  <c:v>29</c:v>
                </c:pt>
                <c:pt idx="5">
                  <c:v>25</c:v>
                </c:pt>
                <c:pt idx="6">
                  <c:v>17</c:v>
                </c:pt>
                <c:pt idx="7">
                  <c:v>57</c:v>
                </c:pt>
                <c:pt idx="8">
                  <c:v>38</c:v>
                </c:pt>
                <c:pt idx="9">
                  <c:v>58</c:v>
                </c:pt>
                <c:pt idx="10">
                  <c:v>39</c:v>
                </c:pt>
                <c:pt idx="11">
                  <c:v>77</c:v>
                </c:pt>
                <c:pt idx="12">
                  <c:v>38</c:v>
                </c:pt>
                <c:pt idx="13">
                  <c:v>24</c:v>
                </c:pt>
                <c:pt idx="14">
                  <c:v>25</c:v>
                </c:pt>
                <c:pt idx="15">
                  <c:v>3</c:v>
                </c:pt>
                <c:pt idx="16">
                  <c:v>51</c:v>
                </c:pt>
                <c:pt idx="17">
                  <c:v>33</c:v>
                </c:pt>
                <c:pt idx="18">
                  <c:v>25</c:v>
                </c:pt>
                <c:pt idx="19">
                  <c:v>45</c:v>
                </c:pt>
                <c:pt idx="20">
                  <c:v>49</c:v>
                </c:pt>
                <c:pt idx="21">
                  <c:v>63</c:v>
                </c:pt>
                <c:pt idx="22">
                  <c:v>63</c:v>
                </c:pt>
                <c:pt idx="23">
                  <c:v>25</c:v>
                </c:pt>
                <c:pt idx="24">
                  <c:v>64</c:v>
                </c:pt>
                <c:pt idx="25">
                  <c:v>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E05-4FC7-8843-20978CCFA02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636981487"/>
        <c:axId val="637002127"/>
      </c:barChart>
      <c:lineChart>
        <c:grouping val="standard"/>
        <c:varyColors val="0"/>
        <c:ser>
          <c:idx val="1"/>
          <c:order val="1"/>
          <c:tx>
            <c:strRef>
              <c:f>Pivot_Combo!$D$1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Pivot_Combo!$B$2:$B$31</c:f>
              <c:multiLvlStrCache>
                <c:ptCount val="26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Dec</c:v>
                  </c:pt>
                  <c:pt idx="11">
                    <c:v>Jan</c:v>
                  </c:pt>
                  <c:pt idx="12">
                    <c:v>Mar</c:v>
                  </c:pt>
                  <c:pt idx="13">
                    <c:v>Apr</c:v>
                  </c:pt>
                  <c:pt idx="14">
                    <c:v>May</c:v>
                  </c:pt>
                  <c:pt idx="15">
                    <c:v>Jun</c:v>
                  </c:pt>
                  <c:pt idx="16">
                    <c:v>Jul</c:v>
                  </c:pt>
                  <c:pt idx="17">
                    <c:v>Aug</c:v>
                  </c:pt>
                  <c:pt idx="18">
                    <c:v>Sep</c:v>
                  </c:pt>
                  <c:pt idx="19">
                    <c:v>Oct</c:v>
                  </c:pt>
                  <c:pt idx="20">
                    <c:v>Nov</c:v>
                  </c:pt>
                  <c:pt idx="21">
                    <c:v>Dec</c:v>
                  </c:pt>
                  <c:pt idx="22">
                    <c:v>Jan</c:v>
                  </c:pt>
                  <c:pt idx="23">
                    <c:v>Feb</c:v>
                  </c:pt>
                  <c:pt idx="24">
                    <c:v>Mar</c:v>
                  </c:pt>
                  <c:pt idx="25">
                    <c:v>Apr</c:v>
                  </c:pt>
                </c:lvl>
                <c:lvl>
                  <c:pt idx="0">
                    <c:v>2024</c:v>
                  </c:pt>
                  <c:pt idx="11">
                    <c:v>2025</c:v>
                  </c:pt>
                  <c:pt idx="22">
                    <c:v>2026</c:v>
                  </c:pt>
                </c:lvl>
              </c:multiLvlStrCache>
            </c:multiLvlStrRef>
          </c:cat>
          <c:val>
            <c:numRef>
              <c:f>Pivot_Combo!$D$2:$D$31</c:f>
              <c:numCache>
                <c:formatCode>General</c:formatCode>
                <c:ptCount val="26"/>
                <c:pt idx="0">
                  <c:v>356.54000000000008</c:v>
                </c:pt>
                <c:pt idx="1">
                  <c:v>293.68</c:v>
                </c:pt>
                <c:pt idx="2">
                  <c:v>403.69</c:v>
                </c:pt>
                <c:pt idx="3">
                  <c:v>562.80999999999995</c:v>
                </c:pt>
                <c:pt idx="4">
                  <c:v>164.98999999999998</c:v>
                </c:pt>
                <c:pt idx="5">
                  <c:v>120.55</c:v>
                </c:pt>
                <c:pt idx="6">
                  <c:v>96.830000000000013</c:v>
                </c:pt>
                <c:pt idx="7">
                  <c:v>610.45000000000005</c:v>
                </c:pt>
                <c:pt idx="8">
                  <c:v>293.62</c:v>
                </c:pt>
                <c:pt idx="9">
                  <c:v>458.92000000000007</c:v>
                </c:pt>
                <c:pt idx="10">
                  <c:v>387.93</c:v>
                </c:pt>
                <c:pt idx="11">
                  <c:v>585.53</c:v>
                </c:pt>
                <c:pt idx="12">
                  <c:v>266.62</c:v>
                </c:pt>
                <c:pt idx="13">
                  <c:v>212.26</c:v>
                </c:pt>
                <c:pt idx="14">
                  <c:v>150.31</c:v>
                </c:pt>
                <c:pt idx="15">
                  <c:v>14.97</c:v>
                </c:pt>
                <c:pt idx="16">
                  <c:v>449.31</c:v>
                </c:pt>
                <c:pt idx="17">
                  <c:v>218.51000000000002</c:v>
                </c:pt>
                <c:pt idx="18">
                  <c:v>161.75</c:v>
                </c:pt>
                <c:pt idx="19">
                  <c:v>375.05</c:v>
                </c:pt>
                <c:pt idx="20">
                  <c:v>382.55</c:v>
                </c:pt>
                <c:pt idx="21">
                  <c:v>378.93</c:v>
                </c:pt>
                <c:pt idx="22">
                  <c:v>425.87</c:v>
                </c:pt>
                <c:pt idx="23">
                  <c:v>338.75</c:v>
                </c:pt>
                <c:pt idx="24">
                  <c:v>529.8599999999999</c:v>
                </c:pt>
                <c:pt idx="25">
                  <c:v>615.34999999999991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AE05-4FC7-8843-20978CCFA02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37012687"/>
        <c:axId val="637011247"/>
      </c:lineChart>
      <c:catAx>
        <c:axId val="6369814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ja-JP"/>
                  <a:t>Month</a:t>
                </a:r>
                <a:endParaRPr lang="ja-JP" altLang="en-US"/>
              </a:p>
            </c:rich>
          </c:tx>
          <c:layout>
            <c:manualLayout>
              <c:xMode val="edge"/>
              <c:yMode val="edge"/>
              <c:x val="0.4760000167844996"/>
              <c:y val="0.9011522533397738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7002127"/>
        <c:crosses val="autoZero"/>
        <c:auto val="1"/>
        <c:lblAlgn val="ctr"/>
        <c:lblOffset val="100"/>
        <c:noMultiLvlLbl val="0"/>
      </c:catAx>
      <c:valAx>
        <c:axId val="637002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ja-JP"/>
                  <a:t>Total</a:t>
                </a:r>
                <a:r>
                  <a:rPr lang="en-US" altLang="ja-JP" baseline="0"/>
                  <a:t> Units Sols by Month</a:t>
                </a:r>
                <a:endParaRPr lang="ja-JP" altLang="en-US"/>
              </a:p>
            </c:rich>
          </c:tx>
          <c:layout>
            <c:manualLayout>
              <c:xMode val="edge"/>
              <c:yMode val="edge"/>
              <c:x val="1.9137614108620752E-2"/>
              <c:y val="0.35417352599366064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981487"/>
        <c:crosses val="autoZero"/>
        <c:crossBetween val="between"/>
      </c:valAx>
      <c:valAx>
        <c:axId val="637011247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ja-JP"/>
                  <a:t>Total</a:t>
                </a:r>
                <a:r>
                  <a:rPr lang="en-US" altLang="ja-JP" baseline="0"/>
                  <a:t> Revenue by Month</a:t>
                </a:r>
                <a:endParaRPr lang="ja-JP" altLang="en-US"/>
              </a:p>
            </c:rich>
          </c:tx>
          <c:layout>
            <c:manualLayout>
              <c:xMode val="edge"/>
              <c:yMode val="edge"/>
              <c:x val="0.95974271145628121"/>
              <c:y val="0.36152772138534817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637012687"/>
        <c:crosses val="max"/>
        <c:crossBetween val="between"/>
      </c:valAx>
      <c:catAx>
        <c:axId val="63701268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37011247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[Kung_RetailStoreVisualizations.xlsx]Pivot_Bar!樞紐分析表3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 sz="1700" b="1">
                <a:solidFill>
                  <a:schemeClr val="accent1"/>
                </a:solidFill>
              </a:rPr>
              <a:t>Total</a:t>
            </a:r>
            <a:r>
              <a:rPr lang="en-US" altLang="ja-JP" sz="1700" b="1" baseline="0">
                <a:solidFill>
                  <a:schemeClr val="accent1"/>
                </a:solidFill>
              </a:rPr>
              <a:t> Unit Sold by Category</a:t>
            </a:r>
            <a:endParaRPr lang="ja-JP" altLang="en-US" sz="1700" b="1">
              <a:solidFill>
                <a:schemeClr val="accent1"/>
              </a:solidFill>
            </a:endParaRPr>
          </a:p>
        </c:rich>
      </c:tx>
      <c:layout>
        <c:manualLayout>
          <c:xMode val="edge"/>
          <c:yMode val="edge"/>
          <c:x val="0.31590354758293276"/>
          <c:y val="2.54261411826570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C00000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rgbClr val="C00000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  <c:pivotFmt>
        <c:idx val="8"/>
        <c:spPr>
          <a:solidFill>
            <a:srgbClr val="C00000"/>
          </a:solidFill>
          <a:ln>
            <a:noFill/>
          </a:ln>
          <a:effectLst/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  <c:pivotFmt>
        <c:idx val="11"/>
        <c:spPr>
          <a:solidFill>
            <a:srgbClr val="C00000"/>
          </a:solidFill>
          <a:ln>
            <a:noFill/>
          </a:ln>
          <a:effectLst/>
        </c:spP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EBF39EB6-B6E7-4ECE-B8C5-A5E0B56B7C69}" type="VALUE">
                  <a:rPr lang="en-US" b="1"/>
                  <a:pPr>
                    <a:defRPr/>
                  </a:pPr>
                  <a:t>[值]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4"/>
        <c:spPr>
          <a:solidFill>
            <a:srgbClr val="C00000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Pivot_Bar!$C$1</c:f>
              <c:strCache>
                <c:ptCount val="1"/>
                <c:pt idx="0">
                  <c:v>合計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0CD-4409-B636-40BD8F0345F2}"/>
              </c:ext>
            </c:extLst>
          </c:dPt>
          <c:dPt>
            <c:idx val="9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0CD-4409-B636-40BD8F0345F2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EBF39EB6-B6E7-4ECE-B8C5-A5E0B56B7C69}" type="VALUE">
                      <a:rPr lang="en-US" b="1"/>
                      <a:pPr/>
                      <a:t>[值]</a:t>
                    </a:fld>
                    <a:endParaRPr lang="en-US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C0CD-4409-B636-40BD8F0345F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Pivot_Bar!$B$2:$B$12</c:f>
              <c:strCache>
                <c:ptCount val="10"/>
                <c:pt idx="0">
                  <c:v>Beverages</c:v>
                </c:pt>
                <c:pt idx="1">
                  <c:v>Electronics Accessories</c:v>
                </c:pt>
                <c:pt idx="2">
                  <c:v>Fresh Food</c:v>
                </c:pt>
                <c:pt idx="3">
                  <c:v>Frozen Food</c:v>
                </c:pt>
                <c:pt idx="4">
                  <c:v>Household Items</c:v>
                </c:pt>
                <c:pt idx="5">
                  <c:v>Personal Care</c:v>
                </c:pt>
                <c:pt idx="6">
                  <c:v>Pet Supplies</c:v>
                </c:pt>
                <c:pt idx="7">
                  <c:v>Snacks</c:v>
                </c:pt>
                <c:pt idx="8">
                  <c:v>Stationery</c:v>
                </c:pt>
                <c:pt idx="9">
                  <c:v>Toys</c:v>
                </c:pt>
              </c:strCache>
            </c:strRef>
          </c:cat>
          <c:val>
            <c:numRef>
              <c:f>Pivot_Bar!$C$2:$C$12</c:f>
              <c:numCache>
                <c:formatCode>General</c:formatCode>
                <c:ptCount val="10"/>
                <c:pt idx="0">
                  <c:v>279</c:v>
                </c:pt>
                <c:pt idx="1">
                  <c:v>62</c:v>
                </c:pt>
                <c:pt idx="2">
                  <c:v>135</c:v>
                </c:pt>
                <c:pt idx="3">
                  <c:v>100</c:v>
                </c:pt>
                <c:pt idx="4">
                  <c:v>78</c:v>
                </c:pt>
                <c:pt idx="5">
                  <c:v>96</c:v>
                </c:pt>
                <c:pt idx="6">
                  <c:v>37</c:v>
                </c:pt>
                <c:pt idx="7">
                  <c:v>212</c:v>
                </c:pt>
                <c:pt idx="8">
                  <c:v>94</c:v>
                </c:pt>
                <c:pt idx="9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0CD-4409-B636-40BD8F0345F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56968047"/>
        <c:axId val="556969007"/>
      </c:barChart>
      <c:catAx>
        <c:axId val="5569680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969007"/>
        <c:crosses val="autoZero"/>
        <c:auto val="1"/>
        <c:lblAlgn val="ctr"/>
        <c:lblOffset val="100"/>
        <c:noMultiLvlLbl val="0"/>
      </c:catAx>
      <c:valAx>
        <c:axId val="5569690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Total units sold by</a:t>
                </a:r>
                <a:r>
                  <a:rPr lang="en-US" altLang="ja-JP" baseline="0"/>
                  <a:t> categories</a:t>
                </a:r>
                <a:endParaRPr lang="ja-JP" altLang="en-US"/>
              </a:p>
            </c:rich>
          </c:tx>
          <c:layout>
            <c:manualLayout>
              <c:xMode val="edge"/>
              <c:yMode val="edge"/>
              <c:x val="0.55669113794382397"/>
              <c:y val="0.948547544042096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9680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[Kung_RetailStoreVisualizations.xlsx]Pivot_Line!樞紐分析表5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 sz="1700" b="1" baseline="0">
                <a:solidFill>
                  <a:schemeClr val="accent1"/>
                </a:solidFill>
              </a:rPr>
              <a:t>Number of Sales by Hour</a:t>
            </a:r>
            <a:endParaRPr lang="ja-JP" altLang="en-US" sz="1700" b="1">
              <a:solidFill>
                <a:schemeClr val="accent1"/>
              </a:solidFill>
            </a:endParaRPr>
          </a:p>
        </c:rich>
      </c:tx>
      <c:layout>
        <c:manualLayout>
          <c:xMode val="edge"/>
          <c:yMode val="edge"/>
          <c:x val="0.32162985716912129"/>
          <c:y val="1.35792802589704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rgbClr val="C0000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rgbClr val="C0000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rgbClr val="C0000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rgbClr val="C0000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rgbClr val="C0000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Pivot_Line!$C$1</c:f>
              <c:strCache>
                <c:ptCount val="1"/>
                <c:pt idx="0">
                  <c:v>合計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0-AAA8-48F9-A877-6837F727CFE2}"/>
              </c:ext>
            </c:extLst>
          </c:dPt>
          <c:dPt>
            <c:idx val="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1-AAA8-48F9-A877-6837F727CFE2}"/>
              </c:ext>
            </c:extLst>
          </c:dPt>
          <c:dLbls>
            <c:dLbl>
              <c:idx val="0"/>
              <c:spPr>
                <a:solidFill>
                  <a:schemeClr val="accent6">
                    <a:lumMod val="5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AAA8-48F9-A877-6837F727CFE2}"/>
                </c:ext>
              </c:extLst>
            </c:dLbl>
            <c:dLbl>
              <c:idx val="3"/>
              <c:spPr>
                <a:solidFill>
                  <a:srgbClr val="C0000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AAA8-48F9-A877-6837F727CFE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Pivot_Line!$B$2:$B$14</c:f>
              <c:strCache>
                <c:ptCount val="12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16</c:v>
                </c:pt>
                <c:pt idx="8">
                  <c:v>17</c:v>
                </c:pt>
                <c:pt idx="9">
                  <c:v>18</c:v>
                </c:pt>
                <c:pt idx="10">
                  <c:v>19</c:v>
                </c:pt>
                <c:pt idx="11">
                  <c:v>20</c:v>
                </c:pt>
              </c:strCache>
            </c:strRef>
          </c:cat>
          <c:val>
            <c:numRef>
              <c:f>Pivot_Line!$C$2:$C$14</c:f>
              <c:numCache>
                <c:formatCode>General</c:formatCode>
                <c:ptCount val="12"/>
                <c:pt idx="0">
                  <c:v>12</c:v>
                </c:pt>
                <c:pt idx="1">
                  <c:v>10</c:v>
                </c:pt>
                <c:pt idx="2">
                  <c:v>6</c:v>
                </c:pt>
                <c:pt idx="3">
                  <c:v>4</c:v>
                </c:pt>
                <c:pt idx="4">
                  <c:v>6</c:v>
                </c:pt>
                <c:pt idx="5">
                  <c:v>11</c:v>
                </c:pt>
                <c:pt idx="6">
                  <c:v>10</c:v>
                </c:pt>
                <c:pt idx="7">
                  <c:v>6</c:v>
                </c:pt>
                <c:pt idx="8">
                  <c:v>11</c:v>
                </c:pt>
                <c:pt idx="9">
                  <c:v>9</c:v>
                </c:pt>
                <c:pt idx="10">
                  <c:v>7</c:v>
                </c:pt>
                <c:pt idx="11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AA8-48F9-A877-6837F727CFE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754931455"/>
        <c:axId val="754919455"/>
      </c:lineChart>
      <c:catAx>
        <c:axId val="7549314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b="1"/>
                  <a:t>Hour</a:t>
                </a:r>
                <a:endParaRPr lang="ja-JP" altLang="en-US" b="1"/>
              </a:p>
            </c:rich>
          </c:tx>
          <c:layout>
            <c:manualLayout>
              <c:xMode val="edge"/>
              <c:yMode val="edge"/>
              <c:x val="0.5073028310578529"/>
              <c:y val="0.8927878217455408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4919455"/>
        <c:crosses val="autoZero"/>
        <c:auto val="1"/>
        <c:lblAlgn val="ctr"/>
        <c:lblOffset val="100"/>
        <c:noMultiLvlLbl val="0"/>
      </c:catAx>
      <c:valAx>
        <c:axId val="754919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b="1"/>
                  <a:t>Total</a:t>
                </a:r>
                <a:r>
                  <a:rPr lang="en-US" altLang="ja-JP" b="1" baseline="0"/>
                  <a:t> Nmber of Sales</a:t>
                </a:r>
                <a:endParaRPr lang="ja-JP" altLang="en-US" b="1"/>
              </a:p>
            </c:rich>
          </c:tx>
          <c:layout>
            <c:manualLayout>
              <c:xMode val="edge"/>
              <c:yMode val="edge"/>
              <c:x val="1.488184387217375E-2"/>
              <c:y val="0.3412637808302457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4931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[Kung_RetailStoreVisualizations.xlsx]Pivot_Combo!樞紐分析表1</c:name>
    <c:fmtId val="6"/>
  </c:pivotSource>
  <c:chart>
    <c:title>
      <c:tx>
        <c:rich>
          <a:bodyPr/>
          <a:lstStyle/>
          <a:p>
            <a:pPr>
              <a:defRPr/>
            </a:pPr>
            <a:r>
              <a:rPr lang="en-US" altLang="ja-JP"/>
              <a:t>Monthly</a:t>
            </a:r>
            <a:r>
              <a:rPr lang="en-US" altLang="ja-JP" baseline="0"/>
              <a:t> </a:t>
            </a:r>
            <a:r>
              <a:rPr lang="en-US" altLang="ja-JP"/>
              <a:t>Units</a:t>
            </a:r>
            <a:r>
              <a:rPr lang="en-US" altLang="ja-JP" baseline="0"/>
              <a:t> Sold and Revenue</a:t>
            </a:r>
            <a:endParaRPr lang="ja-JP" altLang="en-US"/>
          </a:p>
        </c:rich>
      </c:tx>
      <c:layout>
        <c:manualLayout>
          <c:xMode val="edge"/>
          <c:yMode val="edge"/>
          <c:x val="0.35276800163455985"/>
          <c:y val="5.8452615976456658E-2"/>
        </c:manualLayout>
      </c:layout>
      <c:overlay val="0"/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</c:pivotFmt>
      <c:pivotFmt>
        <c:idx val="9"/>
      </c:pivotFmt>
      <c:pivotFmt>
        <c:idx val="10"/>
        <c:dLbl>
          <c:idx val="0"/>
          <c:layout>
            <c:manualLayout>
              <c:x val="-2.7241576993141621E-2"/>
              <c:y val="-4.8519030046098137E-2"/>
            </c:manualLayout>
          </c:layout>
          <c:tx>
            <c:rich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chemeClr val="accent2">
                        <a:lumMod val="75000"/>
                      </a:schemeClr>
                    </a:solidFill>
                  </a:defRPr>
                </a:pPr>
                <a:fld id="{85AD35F1-0D4B-434A-89FD-ED50D71414D7}" type="VALUE">
                  <a:rPr lang="en-US" b="0">
                    <a:solidFill>
                      <a:schemeClr val="tx1"/>
                    </a:solidFill>
                  </a:rPr>
                  <a:pPr>
                    <a:defRPr b="1">
                      <a:solidFill>
                        <a:schemeClr val="accent2">
                          <a:lumMod val="75000"/>
                        </a:schemeClr>
                      </a:solidFill>
                    </a:defRPr>
                  </a:pPr>
                  <a:t>[值]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1"/>
        <c:dLbl>
          <c:idx val="0"/>
          <c:layout>
            <c:manualLayout>
              <c:x val="-2.3691784435355797E-2"/>
              <c:y val="-2.1563969323980175E-2"/>
            </c:manualLayout>
          </c:layout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layout>
            <c:manualLayout>
              <c:x val="-2.7245552100659116E-2"/>
              <c:y val="-0.10781984661990089"/>
            </c:manualLayout>
          </c:layout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b="1">
                  <a:solidFill>
                    <a:schemeClr val="accent2">
                      <a:lumMod val="75000"/>
                    </a:schemeClr>
                  </a:solidFill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layout>
            <c:manualLayout>
              <c:x val="-2.1322605991820155E-2"/>
              <c:y val="-2.4259465489477695E-2"/>
            </c:manualLayout>
          </c:layout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layout>
            <c:manualLayout>
              <c:x val="-2.1322605991820179E-2"/>
              <c:y val="-0.11860183128189096"/>
            </c:manualLayout>
          </c:layout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layout>
            <c:manualLayout>
              <c:x val="-2.6060962878891415E-2"/>
              <c:y val="-0.10242885428890583"/>
            </c:manualLayout>
          </c:layout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b="1">
                  <a:solidFill>
                    <a:srgbClr val="C00000"/>
                  </a:solidFill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C00000"/>
          </a:solidFill>
          <a:ln>
            <a:noFill/>
          </a:ln>
          <a:effectLst/>
        </c:spPr>
      </c:pivotFmt>
      <c:pivotFmt>
        <c:idx val="17"/>
        <c:dLbl>
          <c:idx val="0"/>
          <c:layout>
            <c:manualLayout>
              <c:x val="-2.4872914515234171E-2"/>
              <c:y val="-3.9846162438057997E-2"/>
            </c:manualLayout>
          </c:layout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layout>
            <c:manualLayout>
              <c:x val="-2.6057339015959607E-2"/>
              <c:y val="-6.375385990089287E-2"/>
            </c:manualLayout>
          </c:layout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layout>
            <c:manualLayout>
              <c:x val="-2.3688490014508734E-2"/>
              <c:y val="-8.7661557363727688E-2"/>
            </c:manualLayout>
          </c:layout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layout>
            <c:manualLayout>
              <c:x val="-2.6057339015959607E-2"/>
              <c:y val="-6.9066681559300555E-2"/>
            </c:manualLayout>
          </c:layout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layout>
            <c:manualLayout>
              <c:x val="-2.3688490014508734E-2"/>
              <c:y val="-7.1723092388504481E-2"/>
            </c:manualLayout>
          </c:layout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layout>
            <c:manualLayout>
              <c:x val="-2.4872914515234344E-2"/>
              <c:y val="-8.2348735705319948E-2"/>
            </c:manualLayout>
          </c:layout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6612185751328299E-2"/>
          <c:y val="0.18489137449508244"/>
          <c:w val="0.82927648442605706"/>
          <c:h val="0.6276042782275914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Pivot_Combo!$C$1</c:f>
              <c:strCache>
                <c:ptCount val="1"/>
                <c:pt idx="0">
                  <c:v>sales_quantity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710F-4EA7-818E-35EAF1D346EB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F-710F-4EA7-818E-35EAF1D346E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Pivot_Combo!$B$2:$B$31</c:f>
              <c:multiLvlStrCache>
                <c:ptCount val="26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Dec</c:v>
                  </c:pt>
                  <c:pt idx="11">
                    <c:v>Jan</c:v>
                  </c:pt>
                  <c:pt idx="12">
                    <c:v>Mar</c:v>
                  </c:pt>
                  <c:pt idx="13">
                    <c:v>Apr</c:v>
                  </c:pt>
                  <c:pt idx="14">
                    <c:v>May</c:v>
                  </c:pt>
                  <c:pt idx="15">
                    <c:v>Jun</c:v>
                  </c:pt>
                  <c:pt idx="16">
                    <c:v>Jul</c:v>
                  </c:pt>
                  <c:pt idx="17">
                    <c:v>Aug</c:v>
                  </c:pt>
                  <c:pt idx="18">
                    <c:v>Sep</c:v>
                  </c:pt>
                  <c:pt idx="19">
                    <c:v>Oct</c:v>
                  </c:pt>
                  <c:pt idx="20">
                    <c:v>Nov</c:v>
                  </c:pt>
                  <c:pt idx="21">
                    <c:v>Dec</c:v>
                  </c:pt>
                  <c:pt idx="22">
                    <c:v>Jan</c:v>
                  </c:pt>
                  <c:pt idx="23">
                    <c:v>Feb</c:v>
                  </c:pt>
                  <c:pt idx="24">
                    <c:v>Mar</c:v>
                  </c:pt>
                  <c:pt idx="25">
                    <c:v>Apr</c:v>
                  </c:pt>
                </c:lvl>
                <c:lvl>
                  <c:pt idx="0">
                    <c:v>2024</c:v>
                  </c:pt>
                  <c:pt idx="11">
                    <c:v>2025</c:v>
                  </c:pt>
                  <c:pt idx="22">
                    <c:v>2026</c:v>
                  </c:pt>
                </c:lvl>
              </c:multiLvlStrCache>
            </c:multiLvlStrRef>
          </c:cat>
          <c:val>
            <c:numRef>
              <c:f>Pivot_Combo!$C$2:$C$31</c:f>
              <c:numCache>
                <c:formatCode>General</c:formatCode>
                <c:ptCount val="26"/>
                <c:pt idx="0">
                  <c:v>46</c:v>
                </c:pt>
                <c:pt idx="1">
                  <c:v>38</c:v>
                </c:pt>
                <c:pt idx="2">
                  <c:v>31</c:v>
                </c:pt>
                <c:pt idx="3">
                  <c:v>71</c:v>
                </c:pt>
                <c:pt idx="4">
                  <c:v>29</c:v>
                </c:pt>
                <c:pt idx="5">
                  <c:v>25</c:v>
                </c:pt>
                <c:pt idx="6">
                  <c:v>17</c:v>
                </c:pt>
                <c:pt idx="7">
                  <c:v>57</c:v>
                </c:pt>
                <c:pt idx="8">
                  <c:v>38</c:v>
                </c:pt>
                <c:pt idx="9">
                  <c:v>58</c:v>
                </c:pt>
                <c:pt idx="10">
                  <c:v>39</c:v>
                </c:pt>
                <c:pt idx="11">
                  <c:v>77</c:v>
                </c:pt>
                <c:pt idx="12">
                  <c:v>38</c:v>
                </c:pt>
                <c:pt idx="13">
                  <c:v>24</c:v>
                </c:pt>
                <c:pt idx="14">
                  <c:v>25</c:v>
                </c:pt>
                <c:pt idx="15">
                  <c:v>3</c:v>
                </c:pt>
                <c:pt idx="16">
                  <c:v>51</c:v>
                </c:pt>
                <c:pt idx="17">
                  <c:v>33</c:v>
                </c:pt>
                <c:pt idx="18">
                  <c:v>25</c:v>
                </c:pt>
                <c:pt idx="19">
                  <c:v>45</c:v>
                </c:pt>
                <c:pt idx="20">
                  <c:v>49</c:v>
                </c:pt>
                <c:pt idx="21">
                  <c:v>63</c:v>
                </c:pt>
                <c:pt idx="22">
                  <c:v>63</c:v>
                </c:pt>
                <c:pt idx="23">
                  <c:v>25</c:v>
                </c:pt>
                <c:pt idx="24">
                  <c:v>64</c:v>
                </c:pt>
                <c:pt idx="25">
                  <c:v>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10F-4EA7-818E-35EAF1D346E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636981487"/>
        <c:axId val="637002127"/>
      </c:barChart>
      <c:lineChart>
        <c:grouping val="standard"/>
        <c:varyColors val="0"/>
        <c:ser>
          <c:idx val="1"/>
          <c:order val="1"/>
          <c:tx>
            <c:strRef>
              <c:f>Pivot_Combo!$D$1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Pivot_Combo!$B$2:$B$31</c:f>
              <c:multiLvlStrCache>
                <c:ptCount val="26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Dec</c:v>
                  </c:pt>
                  <c:pt idx="11">
                    <c:v>Jan</c:v>
                  </c:pt>
                  <c:pt idx="12">
                    <c:v>Mar</c:v>
                  </c:pt>
                  <c:pt idx="13">
                    <c:v>Apr</c:v>
                  </c:pt>
                  <c:pt idx="14">
                    <c:v>May</c:v>
                  </c:pt>
                  <c:pt idx="15">
                    <c:v>Jun</c:v>
                  </c:pt>
                  <c:pt idx="16">
                    <c:v>Jul</c:v>
                  </c:pt>
                  <c:pt idx="17">
                    <c:v>Aug</c:v>
                  </c:pt>
                  <c:pt idx="18">
                    <c:v>Sep</c:v>
                  </c:pt>
                  <c:pt idx="19">
                    <c:v>Oct</c:v>
                  </c:pt>
                  <c:pt idx="20">
                    <c:v>Nov</c:v>
                  </c:pt>
                  <c:pt idx="21">
                    <c:v>Dec</c:v>
                  </c:pt>
                  <c:pt idx="22">
                    <c:v>Jan</c:v>
                  </c:pt>
                  <c:pt idx="23">
                    <c:v>Feb</c:v>
                  </c:pt>
                  <c:pt idx="24">
                    <c:v>Mar</c:v>
                  </c:pt>
                  <c:pt idx="25">
                    <c:v>Apr</c:v>
                  </c:pt>
                </c:lvl>
                <c:lvl>
                  <c:pt idx="0">
                    <c:v>2024</c:v>
                  </c:pt>
                  <c:pt idx="11">
                    <c:v>2025</c:v>
                  </c:pt>
                  <c:pt idx="22">
                    <c:v>2026</c:v>
                  </c:pt>
                </c:lvl>
              </c:multiLvlStrCache>
            </c:multiLvlStrRef>
          </c:cat>
          <c:val>
            <c:numRef>
              <c:f>Pivot_Combo!$D$2:$D$31</c:f>
              <c:numCache>
                <c:formatCode>General</c:formatCode>
                <c:ptCount val="26"/>
                <c:pt idx="0">
                  <c:v>356.54000000000008</c:v>
                </c:pt>
                <c:pt idx="1">
                  <c:v>293.68</c:v>
                </c:pt>
                <c:pt idx="2">
                  <c:v>403.69</c:v>
                </c:pt>
                <c:pt idx="3">
                  <c:v>562.80999999999995</c:v>
                </c:pt>
                <c:pt idx="4">
                  <c:v>164.98999999999998</c:v>
                </c:pt>
                <c:pt idx="5">
                  <c:v>120.55</c:v>
                </c:pt>
                <c:pt idx="6">
                  <c:v>96.830000000000013</c:v>
                </c:pt>
                <c:pt idx="7">
                  <c:v>610.45000000000005</c:v>
                </c:pt>
                <c:pt idx="8">
                  <c:v>293.62</c:v>
                </c:pt>
                <c:pt idx="9">
                  <c:v>458.92000000000007</c:v>
                </c:pt>
                <c:pt idx="10">
                  <c:v>387.93</c:v>
                </c:pt>
                <c:pt idx="11">
                  <c:v>585.53</c:v>
                </c:pt>
                <c:pt idx="12">
                  <c:v>266.62</c:v>
                </c:pt>
                <c:pt idx="13">
                  <c:v>212.26</c:v>
                </c:pt>
                <c:pt idx="14">
                  <c:v>150.31</c:v>
                </c:pt>
                <c:pt idx="15">
                  <c:v>14.97</c:v>
                </c:pt>
                <c:pt idx="16">
                  <c:v>449.31</c:v>
                </c:pt>
                <c:pt idx="17">
                  <c:v>218.51000000000002</c:v>
                </c:pt>
                <c:pt idx="18">
                  <c:v>161.75</c:v>
                </c:pt>
                <c:pt idx="19">
                  <c:v>375.05</c:v>
                </c:pt>
                <c:pt idx="20">
                  <c:v>382.55</c:v>
                </c:pt>
                <c:pt idx="21">
                  <c:v>378.93</c:v>
                </c:pt>
                <c:pt idx="22">
                  <c:v>425.87</c:v>
                </c:pt>
                <c:pt idx="23">
                  <c:v>338.75</c:v>
                </c:pt>
                <c:pt idx="24">
                  <c:v>529.8599999999999</c:v>
                </c:pt>
                <c:pt idx="25">
                  <c:v>615.34999999999991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10F-4EA7-818E-35EAF1D346E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37012687"/>
        <c:axId val="637011247"/>
      </c:lineChart>
      <c:catAx>
        <c:axId val="6369814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ja-JP"/>
                  <a:t>Month</a:t>
                </a:r>
                <a:endParaRPr lang="ja-JP" alt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7002127"/>
        <c:crosses val="autoZero"/>
        <c:auto val="1"/>
        <c:lblAlgn val="ctr"/>
        <c:lblOffset val="100"/>
        <c:noMultiLvlLbl val="0"/>
      </c:catAx>
      <c:valAx>
        <c:axId val="637002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ja-JP"/>
                  <a:t>Total</a:t>
                </a:r>
                <a:r>
                  <a:rPr lang="en-US" altLang="ja-JP" baseline="0"/>
                  <a:t> Units Sols by Month</a:t>
                </a:r>
                <a:endParaRPr lang="ja-JP" altLang="en-US"/>
              </a:p>
            </c:rich>
          </c:tx>
          <c:layout>
            <c:manualLayout>
              <c:xMode val="edge"/>
              <c:yMode val="edge"/>
              <c:x val="3.0101957279354181E-2"/>
              <c:y val="0.35417347798190968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981487"/>
        <c:crosses val="autoZero"/>
        <c:crossBetween val="between"/>
      </c:valAx>
      <c:valAx>
        <c:axId val="637011247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ja-JP"/>
                  <a:t>Total</a:t>
                </a:r>
                <a:r>
                  <a:rPr lang="en-US" altLang="ja-JP" baseline="0"/>
                  <a:t> Revenue by Month</a:t>
                </a:r>
                <a:endParaRPr lang="ja-JP" altLang="en-US"/>
              </a:p>
            </c:rich>
          </c:tx>
          <c:layout>
            <c:manualLayout>
              <c:xMode val="edge"/>
              <c:yMode val="edge"/>
              <c:x val="0.95974271145628121"/>
              <c:y val="0.36152772138534817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637012687"/>
        <c:crosses val="max"/>
        <c:crossBetween val="between"/>
      </c:valAx>
      <c:catAx>
        <c:axId val="63701268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37011247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[Kung_RetailStoreVisualizations.xlsx]Pivot_Bar!樞紐分析表3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 sz="1500" b="1"/>
              <a:t>Total</a:t>
            </a:r>
            <a:r>
              <a:rPr lang="en-US" altLang="ja-JP" sz="1500" b="1" baseline="0"/>
              <a:t> Unit Sold by Categories</a:t>
            </a:r>
            <a:endParaRPr lang="ja-JP" altLang="en-US" sz="1500" b="1"/>
          </a:p>
        </c:rich>
      </c:tx>
      <c:layout>
        <c:manualLayout>
          <c:xMode val="edge"/>
          <c:yMode val="edge"/>
          <c:x val="0.34500268918757637"/>
          <c:y val="6.56561406003250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rgbClr val="C00000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Pivot_Bar!$C$1</c:f>
              <c:strCache>
                <c:ptCount val="1"/>
                <c:pt idx="0">
                  <c:v>合計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3694-4CB9-85B7-198BC44465DC}"/>
              </c:ext>
            </c:extLst>
          </c:dPt>
          <c:dPt>
            <c:idx val="9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694-4CB9-85B7-198BC44465D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Pivot_Bar!$B$2:$B$12</c:f>
              <c:strCache>
                <c:ptCount val="10"/>
                <c:pt idx="0">
                  <c:v>Beverages</c:v>
                </c:pt>
                <c:pt idx="1">
                  <c:v>Electronics Accessories</c:v>
                </c:pt>
                <c:pt idx="2">
                  <c:v>Fresh Food</c:v>
                </c:pt>
                <c:pt idx="3">
                  <c:v>Frozen Food</c:v>
                </c:pt>
                <c:pt idx="4">
                  <c:v>Household Items</c:v>
                </c:pt>
                <c:pt idx="5">
                  <c:v>Personal Care</c:v>
                </c:pt>
                <c:pt idx="6">
                  <c:v>Pet Supplies</c:v>
                </c:pt>
                <c:pt idx="7">
                  <c:v>Snacks</c:v>
                </c:pt>
                <c:pt idx="8">
                  <c:v>Stationery</c:v>
                </c:pt>
                <c:pt idx="9">
                  <c:v>Toys</c:v>
                </c:pt>
              </c:strCache>
            </c:strRef>
          </c:cat>
          <c:val>
            <c:numRef>
              <c:f>Pivot_Bar!$C$2:$C$12</c:f>
              <c:numCache>
                <c:formatCode>General</c:formatCode>
                <c:ptCount val="10"/>
                <c:pt idx="0">
                  <c:v>279</c:v>
                </c:pt>
                <c:pt idx="1">
                  <c:v>62</c:v>
                </c:pt>
                <c:pt idx="2">
                  <c:v>135</c:v>
                </c:pt>
                <c:pt idx="3">
                  <c:v>100</c:v>
                </c:pt>
                <c:pt idx="4">
                  <c:v>78</c:v>
                </c:pt>
                <c:pt idx="5">
                  <c:v>96</c:v>
                </c:pt>
                <c:pt idx="6">
                  <c:v>37</c:v>
                </c:pt>
                <c:pt idx="7">
                  <c:v>212</c:v>
                </c:pt>
                <c:pt idx="8">
                  <c:v>94</c:v>
                </c:pt>
                <c:pt idx="9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94-4CB9-85B7-198BC44465D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56968047"/>
        <c:axId val="556969007"/>
      </c:barChart>
      <c:catAx>
        <c:axId val="55696804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Categories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969007"/>
        <c:crosses val="autoZero"/>
        <c:auto val="1"/>
        <c:lblAlgn val="ctr"/>
        <c:lblOffset val="100"/>
        <c:noMultiLvlLbl val="0"/>
      </c:catAx>
      <c:valAx>
        <c:axId val="5569690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Total units by</a:t>
                </a:r>
                <a:r>
                  <a:rPr lang="en-US" altLang="ja-JP" baseline="0"/>
                  <a:t> categories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9680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[Kung_RetailStoreVisualizations.xlsx]Pivot_Line!樞紐分析表5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 b="1"/>
              <a:t>Total</a:t>
            </a:r>
            <a:r>
              <a:rPr lang="en-US" altLang="ja-JP" b="1" baseline="0"/>
              <a:t> Number of Sales by Hour</a:t>
            </a:r>
            <a:endParaRPr lang="ja-JP" altLang="en-US" b="1"/>
          </a:p>
        </c:rich>
      </c:tx>
      <c:layout>
        <c:manualLayout>
          <c:xMode val="edge"/>
          <c:yMode val="edge"/>
          <c:x val="0.3570069917730872"/>
          <c:y val="6.32109347552028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Pivot_Line!$C$1</c:f>
              <c:strCache>
                <c:ptCount val="1"/>
                <c:pt idx="0">
                  <c:v>合計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Pivot_Line!$B$2:$B$14</c:f>
              <c:strCache>
                <c:ptCount val="12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16</c:v>
                </c:pt>
                <c:pt idx="8">
                  <c:v>17</c:v>
                </c:pt>
                <c:pt idx="9">
                  <c:v>18</c:v>
                </c:pt>
                <c:pt idx="10">
                  <c:v>19</c:v>
                </c:pt>
                <c:pt idx="11">
                  <c:v>20</c:v>
                </c:pt>
              </c:strCache>
            </c:strRef>
          </c:cat>
          <c:val>
            <c:numRef>
              <c:f>Pivot_Line!$C$2:$C$14</c:f>
              <c:numCache>
                <c:formatCode>General</c:formatCode>
                <c:ptCount val="12"/>
                <c:pt idx="0">
                  <c:v>12</c:v>
                </c:pt>
                <c:pt idx="1">
                  <c:v>10</c:v>
                </c:pt>
                <c:pt idx="2">
                  <c:v>6</c:v>
                </c:pt>
                <c:pt idx="3">
                  <c:v>4</c:v>
                </c:pt>
                <c:pt idx="4">
                  <c:v>6</c:v>
                </c:pt>
                <c:pt idx="5">
                  <c:v>11</c:v>
                </c:pt>
                <c:pt idx="6">
                  <c:v>10</c:v>
                </c:pt>
                <c:pt idx="7">
                  <c:v>6</c:v>
                </c:pt>
                <c:pt idx="8">
                  <c:v>11</c:v>
                </c:pt>
                <c:pt idx="9">
                  <c:v>9</c:v>
                </c:pt>
                <c:pt idx="10">
                  <c:v>7</c:v>
                </c:pt>
                <c:pt idx="11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16-4D44-9590-84E08496702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754931455"/>
        <c:axId val="754919455"/>
      </c:lineChart>
      <c:catAx>
        <c:axId val="7549314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b="1"/>
                  <a:t>Hour</a:t>
                </a:r>
                <a:endParaRPr lang="ja-JP" alt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4919455"/>
        <c:crosses val="autoZero"/>
        <c:auto val="1"/>
        <c:lblAlgn val="ctr"/>
        <c:lblOffset val="100"/>
        <c:noMultiLvlLbl val="0"/>
      </c:catAx>
      <c:valAx>
        <c:axId val="754919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b="1"/>
                  <a:t>Total</a:t>
                </a:r>
                <a:r>
                  <a:rPr lang="en-US" altLang="ja-JP" b="1" baseline="0"/>
                  <a:t> Nmber of Sales</a:t>
                </a:r>
                <a:endParaRPr lang="ja-JP" alt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4931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92497</xdr:colOff>
      <xdr:row>0</xdr:row>
      <xdr:rowOff>92497</xdr:rowOff>
    </xdr:from>
    <xdr:to>
      <xdr:col>12</xdr:col>
      <xdr:colOff>81936</xdr:colOff>
      <xdr:row>3</xdr:row>
      <xdr:rowOff>32775</xdr:rowOff>
    </xdr:to>
    <xdr:sp macro="" textlink="">
      <xdr:nvSpPr>
        <xdr:cNvPr id="2" name="矩形: 圓角 1">
          <a:extLst>
            <a:ext uri="{FF2B5EF4-FFF2-40B4-BE49-F238E27FC236}">
              <a16:creationId xmlns:a16="http://schemas.microsoft.com/office/drawing/2014/main" id="{2D887EFE-8287-247C-8DEF-458A9B05DAB4}"/>
            </a:ext>
          </a:extLst>
        </xdr:cNvPr>
        <xdr:cNvSpPr/>
      </xdr:nvSpPr>
      <xdr:spPr>
        <a:xfrm>
          <a:off x="944626" y="92497"/>
          <a:ext cx="8166600" cy="530213"/>
        </a:xfrm>
        <a:prstGeom prst="roundRect">
          <a:avLst>
            <a:gd name="adj" fmla="val 1490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bg1"/>
              </a:solidFill>
            </a:rPr>
            <a:t>AAA Retail Sales Dashboard</a:t>
          </a:r>
          <a:r>
            <a:rPr lang="en-US" sz="1600" b="1" baseline="0">
              <a:solidFill>
                <a:schemeClr val="bg1"/>
              </a:solidFill>
            </a:rPr>
            <a:t> </a:t>
          </a:r>
          <a:r>
            <a:rPr lang="en-US" sz="1000" b="0" i="1">
              <a:solidFill>
                <a:schemeClr val="bg1"/>
              </a:solidFill>
            </a:rPr>
            <a:t>$CAD</a:t>
          </a:r>
        </a:p>
      </xdr:txBody>
    </xdr:sp>
    <xdr:clientData/>
  </xdr:twoCellAnchor>
  <xdr:twoCellAnchor>
    <xdr:from>
      <xdr:col>1</xdr:col>
      <xdr:colOff>92102</xdr:colOff>
      <xdr:row>3</xdr:row>
      <xdr:rowOff>141104</xdr:rowOff>
    </xdr:from>
    <xdr:to>
      <xdr:col>3</xdr:col>
      <xdr:colOff>655484</xdr:colOff>
      <xdr:row>5</xdr:row>
      <xdr:rowOff>38000</xdr:rowOff>
    </xdr:to>
    <xdr:sp macro="" textlink="">
      <xdr:nvSpPr>
        <xdr:cNvPr id="3" name="矩形: 圓角 2">
          <a:extLst>
            <a:ext uri="{FF2B5EF4-FFF2-40B4-BE49-F238E27FC236}">
              <a16:creationId xmlns:a16="http://schemas.microsoft.com/office/drawing/2014/main" id="{643CDCFD-808E-49EC-B09B-A0F60615B6DD}"/>
            </a:ext>
          </a:extLst>
        </xdr:cNvPr>
        <xdr:cNvSpPr/>
      </xdr:nvSpPr>
      <xdr:spPr>
        <a:xfrm>
          <a:off x="2095880" y="733771"/>
          <a:ext cx="2595382" cy="292007"/>
        </a:xfrm>
        <a:prstGeom prst="roundRect">
          <a:avLst>
            <a:gd name="adj" fmla="val 1490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200" b="1">
              <a:solidFill>
                <a:schemeClr val="bg2"/>
              </a:solidFill>
            </a:rPr>
            <a:t> Revenue - </a:t>
          </a:r>
          <a:endParaRPr lang="en-US" sz="1000" b="0" i="1">
            <a:solidFill>
              <a:schemeClr val="bg2"/>
            </a:solidFill>
          </a:endParaRPr>
        </a:p>
      </xdr:txBody>
    </xdr:sp>
    <xdr:clientData/>
  </xdr:twoCellAnchor>
  <xdr:twoCellAnchor>
    <xdr:from>
      <xdr:col>4</xdr:col>
      <xdr:colOff>51134</xdr:colOff>
      <xdr:row>3</xdr:row>
      <xdr:rowOff>141104</xdr:rowOff>
    </xdr:from>
    <xdr:to>
      <xdr:col>7</xdr:col>
      <xdr:colOff>639098</xdr:colOff>
      <xdr:row>5</xdr:row>
      <xdr:rowOff>38000</xdr:rowOff>
    </xdr:to>
    <xdr:sp macro="" textlink="">
      <xdr:nvSpPr>
        <xdr:cNvPr id="11" name="矩形: 圓角 10">
          <a:extLst>
            <a:ext uri="{FF2B5EF4-FFF2-40B4-BE49-F238E27FC236}">
              <a16:creationId xmlns:a16="http://schemas.microsoft.com/office/drawing/2014/main" id="{4C61A939-7026-7240-78E5-1BE26569B802}"/>
            </a:ext>
          </a:extLst>
        </xdr:cNvPr>
        <xdr:cNvSpPr/>
      </xdr:nvSpPr>
      <xdr:spPr>
        <a:xfrm>
          <a:off x="4848912" y="733771"/>
          <a:ext cx="2619964" cy="292007"/>
        </a:xfrm>
        <a:prstGeom prst="roundRect">
          <a:avLst>
            <a:gd name="adj" fmla="val 1490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200" b="1">
              <a:solidFill>
                <a:schemeClr val="bg2"/>
              </a:solidFill>
            </a:rPr>
            <a:t> #</a:t>
          </a:r>
          <a:r>
            <a:rPr lang="en-US" sz="1200" b="1" baseline="0">
              <a:solidFill>
                <a:schemeClr val="bg2"/>
              </a:solidFill>
            </a:rPr>
            <a:t> of Sales</a:t>
          </a:r>
          <a:r>
            <a:rPr lang="en-US" sz="1200" b="1">
              <a:solidFill>
                <a:schemeClr val="bg2"/>
              </a:solidFill>
            </a:rPr>
            <a:t> - </a:t>
          </a:r>
          <a:endParaRPr lang="en-US" sz="1000" b="0" i="1">
            <a:solidFill>
              <a:schemeClr val="bg2"/>
            </a:solidFill>
          </a:endParaRPr>
        </a:p>
      </xdr:txBody>
    </xdr:sp>
    <xdr:clientData/>
  </xdr:twoCellAnchor>
  <xdr:twoCellAnchor>
    <xdr:from>
      <xdr:col>8</xdr:col>
      <xdr:colOff>157651</xdr:colOff>
      <xdr:row>3</xdr:row>
      <xdr:rowOff>141104</xdr:rowOff>
    </xdr:from>
    <xdr:to>
      <xdr:col>12</xdr:col>
      <xdr:colOff>73743</xdr:colOff>
      <xdr:row>5</xdr:row>
      <xdr:rowOff>38000</xdr:rowOff>
    </xdr:to>
    <xdr:sp macro="" textlink="">
      <xdr:nvSpPr>
        <xdr:cNvPr id="12" name="矩形: 圓角 11">
          <a:extLst>
            <a:ext uri="{FF2B5EF4-FFF2-40B4-BE49-F238E27FC236}">
              <a16:creationId xmlns:a16="http://schemas.microsoft.com/office/drawing/2014/main" id="{F73F999C-0840-50B7-21FF-CF7740359935}"/>
            </a:ext>
          </a:extLst>
        </xdr:cNvPr>
        <xdr:cNvSpPr/>
      </xdr:nvSpPr>
      <xdr:spPr>
        <a:xfrm>
          <a:off x="7664762" y="733771"/>
          <a:ext cx="2625425" cy="292007"/>
        </a:xfrm>
        <a:prstGeom prst="roundRect">
          <a:avLst>
            <a:gd name="adj" fmla="val 1490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200" b="1">
              <a:solidFill>
                <a:schemeClr val="bg2"/>
              </a:solidFill>
            </a:rPr>
            <a:t> Average Revenue per Sale - </a:t>
          </a:r>
          <a:endParaRPr lang="en-US" sz="1000" b="0" i="1">
            <a:solidFill>
              <a:schemeClr val="bg2"/>
            </a:solidFill>
          </a:endParaRPr>
        </a:p>
      </xdr:txBody>
    </xdr:sp>
    <xdr:clientData/>
  </xdr:twoCellAnchor>
  <xdr:twoCellAnchor>
    <xdr:from>
      <xdr:col>1</xdr:col>
      <xdr:colOff>126597</xdr:colOff>
      <xdr:row>7</xdr:row>
      <xdr:rowOff>144081</xdr:rowOff>
    </xdr:from>
    <xdr:to>
      <xdr:col>12</xdr:col>
      <xdr:colOff>116036</xdr:colOff>
      <xdr:row>42</xdr:row>
      <xdr:rowOff>189957</xdr:rowOff>
    </xdr:to>
    <xdr:grpSp>
      <xdr:nvGrpSpPr>
        <xdr:cNvPr id="18" name="群組 17">
          <a:extLst>
            <a:ext uri="{FF2B5EF4-FFF2-40B4-BE49-F238E27FC236}">
              <a16:creationId xmlns:a16="http://schemas.microsoft.com/office/drawing/2014/main" id="{135E051A-5157-E78A-54FE-E347D8525500}"/>
            </a:ext>
          </a:extLst>
        </xdr:cNvPr>
        <xdr:cNvGrpSpPr/>
      </xdr:nvGrpSpPr>
      <xdr:grpSpPr>
        <a:xfrm>
          <a:off x="2136980" y="1635655"/>
          <a:ext cx="8128247" cy="6855238"/>
          <a:chOff x="1525679" y="1616495"/>
          <a:chExt cx="8184062" cy="6181879"/>
        </a:xfrm>
      </xdr:grpSpPr>
      <xdr:sp macro="" textlink="">
        <xdr:nvSpPr>
          <xdr:cNvPr id="16" name="矩形: 圓角 15">
            <a:extLst>
              <a:ext uri="{FF2B5EF4-FFF2-40B4-BE49-F238E27FC236}">
                <a16:creationId xmlns:a16="http://schemas.microsoft.com/office/drawing/2014/main" id="{58F565AF-91E2-4DD0-9B73-86A430EBAF83}"/>
              </a:ext>
            </a:extLst>
          </xdr:cNvPr>
          <xdr:cNvSpPr/>
        </xdr:nvSpPr>
        <xdr:spPr>
          <a:xfrm>
            <a:off x="1525679" y="1616495"/>
            <a:ext cx="8184062" cy="6181879"/>
          </a:xfrm>
          <a:prstGeom prst="roundRect">
            <a:avLst>
              <a:gd name="adj" fmla="val 1910"/>
            </a:avLst>
          </a:prstGeom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lang="en-US" sz="1000" b="0" i="1">
              <a:solidFill>
                <a:schemeClr val="bg1">
                  <a:lumMod val="75000"/>
                </a:schemeClr>
              </a:solidFill>
            </a:endParaRPr>
          </a:p>
        </xdr:txBody>
      </xdr:sp>
      <xdr:graphicFrame macro="">
        <xdr:nvGraphicFramePr>
          <xdr:cNvPr id="17" name="圖表 16">
            <a:extLst>
              <a:ext uri="{FF2B5EF4-FFF2-40B4-BE49-F238E27FC236}">
                <a16:creationId xmlns:a16="http://schemas.microsoft.com/office/drawing/2014/main" id="{DC03DE3A-B437-4E7F-A9C9-A5FC981A7CB9}"/>
              </a:ext>
            </a:extLst>
          </xdr:cNvPr>
          <xdr:cNvGraphicFramePr>
            <a:graphicFrameLocks/>
          </xdr:cNvGraphicFramePr>
        </xdr:nvGraphicFramePr>
        <xdr:xfrm>
          <a:off x="1547766" y="1845147"/>
          <a:ext cx="8124899" cy="579312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</xdr:grpSp>
    <xdr:clientData/>
  </xdr:twoCellAnchor>
  <xdr:twoCellAnchor>
    <xdr:from>
      <xdr:col>12</xdr:col>
      <xdr:colOff>278997</xdr:colOff>
      <xdr:row>0</xdr:row>
      <xdr:rowOff>191930</xdr:rowOff>
    </xdr:from>
    <xdr:to>
      <xdr:col>23</xdr:col>
      <xdr:colOff>74951</xdr:colOff>
      <xdr:row>21</xdr:row>
      <xdr:rowOff>16163</xdr:rowOff>
    </xdr:to>
    <xdr:grpSp>
      <xdr:nvGrpSpPr>
        <xdr:cNvPr id="24" name="群組 23">
          <a:extLst>
            <a:ext uri="{FF2B5EF4-FFF2-40B4-BE49-F238E27FC236}">
              <a16:creationId xmlns:a16="http://schemas.microsoft.com/office/drawing/2014/main" id="{DA9EF247-5EF6-3CF4-B0C4-9B9EB9E58339}"/>
            </a:ext>
          </a:extLst>
        </xdr:cNvPr>
        <xdr:cNvGrpSpPr/>
      </xdr:nvGrpSpPr>
      <xdr:grpSpPr>
        <a:xfrm>
          <a:off x="10428188" y="191930"/>
          <a:ext cx="7107912" cy="4039552"/>
          <a:chOff x="9867497" y="70010"/>
          <a:chExt cx="7200054" cy="4213353"/>
        </a:xfrm>
      </xdr:grpSpPr>
      <xdr:sp macro="" textlink="">
        <xdr:nvSpPr>
          <xdr:cNvPr id="20" name="矩形: 圓角 19">
            <a:extLst>
              <a:ext uri="{FF2B5EF4-FFF2-40B4-BE49-F238E27FC236}">
                <a16:creationId xmlns:a16="http://schemas.microsoft.com/office/drawing/2014/main" id="{D023A193-C59A-0883-4CCB-EE8492544A75}"/>
              </a:ext>
            </a:extLst>
          </xdr:cNvPr>
          <xdr:cNvSpPr/>
        </xdr:nvSpPr>
        <xdr:spPr>
          <a:xfrm>
            <a:off x="9867497" y="70010"/>
            <a:ext cx="7200054" cy="4213353"/>
          </a:xfrm>
          <a:prstGeom prst="roundRect">
            <a:avLst>
              <a:gd name="adj" fmla="val 2640"/>
            </a:avLst>
          </a:prstGeom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endParaRPr lang="en-US" sz="1000" b="0" i="1">
              <a:solidFill>
                <a:schemeClr val="bg1">
                  <a:lumMod val="75000"/>
                </a:schemeClr>
              </a:solidFill>
            </a:endParaRPr>
          </a:p>
        </xdr:txBody>
      </xdr:sp>
      <xdr:graphicFrame macro="">
        <xdr:nvGraphicFramePr>
          <xdr:cNvPr id="22" name="圖表 21">
            <a:extLst>
              <a:ext uri="{FF2B5EF4-FFF2-40B4-BE49-F238E27FC236}">
                <a16:creationId xmlns:a16="http://schemas.microsoft.com/office/drawing/2014/main" id="{0CD9591E-A97E-47E2-B9C8-92280049ADBE}"/>
              </a:ext>
            </a:extLst>
          </xdr:cNvPr>
          <xdr:cNvGraphicFramePr>
            <a:graphicFrameLocks/>
          </xdr:cNvGraphicFramePr>
        </xdr:nvGraphicFramePr>
        <xdr:xfrm>
          <a:off x="9964962" y="246627"/>
          <a:ext cx="7010211" cy="385662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>
    <xdr:from>
      <xdr:col>12</xdr:col>
      <xdr:colOff>319983</xdr:colOff>
      <xdr:row>22</xdr:row>
      <xdr:rowOff>6510</xdr:rowOff>
    </xdr:from>
    <xdr:to>
      <xdr:col>23</xdr:col>
      <xdr:colOff>122287</xdr:colOff>
      <xdr:row>42</xdr:row>
      <xdr:rowOff>155863</xdr:rowOff>
    </xdr:to>
    <xdr:sp macro="" textlink="">
      <xdr:nvSpPr>
        <xdr:cNvPr id="23" name="矩形: 圓角 22">
          <a:extLst>
            <a:ext uri="{FF2B5EF4-FFF2-40B4-BE49-F238E27FC236}">
              <a16:creationId xmlns:a16="http://schemas.microsoft.com/office/drawing/2014/main" id="{371D829B-271B-4167-834E-4154314AF63D}"/>
            </a:ext>
          </a:extLst>
        </xdr:cNvPr>
        <xdr:cNvSpPr/>
      </xdr:nvSpPr>
      <xdr:spPr>
        <a:xfrm>
          <a:off x="9844983" y="4330860"/>
          <a:ext cx="7136554" cy="3959353"/>
        </a:xfrm>
        <a:prstGeom prst="roundRect">
          <a:avLst>
            <a:gd name="adj" fmla="val 2640"/>
          </a:avLst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n-US" sz="1000" b="0" i="1">
            <a:solidFill>
              <a:schemeClr val="bg1">
                <a:lumMod val="75000"/>
              </a:schemeClr>
            </a:solidFill>
          </a:endParaRPr>
        </a:p>
      </xdr:txBody>
    </xdr:sp>
    <xdr:clientData/>
  </xdr:twoCellAnchor>
  <xdr:twoCellAnchor>
    <xdr:from>
      <xdr:col>12</xdr:col>
      <xdr:colOff>472440</xdr:colOff>
      <xdr:row>22</xdr:row>
      <xdr:rowOff>137160</xdr:rowOff>
    </xdr:from>
    <xdr:to>
      <xdr:col>22</xdr:col>
      <xdr:colOff>587634</xdr:colOff>
      <xdr:row>41</xdr:row>
      <xdr:rowOff>176248</xdr:rowOff>
    </xdr:to>
    <xdr:graphicFrame macro="">
      <xdr:nvGraphicFramePr>
        <xdr:cNvPr id="25" name="圖表 24">
          <a:extLst>
            <a:ext uri="{FF2B5EF4-FFF2-40B4-BE49-F238E27FC236}">
              <a16:creationId xmlns:a16="http://schemas.microsoft.com/office/drawing/2014/main" id="{BC051543-261A-490D-9293-F90B280A8A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69272</xdr:colOff>
      <xdr:row>9</xdr:row>
      <xdr:rowOff>74747</xdr:rowOff>
    </xdr:from>
    <xdr:to>
      <xdr:col>0</xdr:col>
      <xdr:colOff>1981199</xdr:colOff>
      <xdr:row>27</xdr:row>
      <xdr:rowOff>84301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6" name="category_name 1">
              <a:extLst>
                <a:ext uri="{FF2B5EF4-FFF2-40B4-BE49-F238E27FC236}">
                  <a16:creationId xmlns:a16="http://schemas.microsoft.com/office/drawing/2014/main" id="{8DCB5E3B-0432-46FA-8784-7641F3A0E47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_nam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9272" y="1957335"/>
              <a:ext cx="1911927" cy="35057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此圖案代表交叉分析篩選器。Excel 2010 或更新版本支援交叉分析篩選器。
如果圖案是在舊版 Excel 中修改，或如果活頁簿是在 Excel 2003 或較舊版本中儲存，則交叉分析篩選器無法使用。</a:t>
              </a:r>
            </a:p>
          </xdr:txBody>
        </xdr:sp>
      </mc:Fallback>
    </mc:AlternateContent>
    <xdr:clientData/>
  </xdr:twoCellAnchor>
  <xdr:twoCellAnchor>
    <xdr:from>
      <xdr:col>23</xdr:col>
      <xdr:colOff>279400</xdr:colOff>
      <xdr:row>0</xdr:row>
      <xdr:rowOff>190500</xdr:rowOff>
    </xdr:from>
    <xdr:to>
      <xdr:col>26</xdr:col>
      <xdr:colOff>400538</xdr:colOff>
      <xdr:row>42</xdr:row>
      <xdr:rowOff>101600</xdr:rowOff>
    </xdr:to>
    <xdr:sp macro="" textlink="">
      <xdr:nvSpPr>
        <xdr:cNvPr id="30" name="矩形: 圓角 29">
          <a:extLst>
            <a:ext uri="{FF2B5EF4-FFF2-40B4-BE49-F238E27FC236}">
              <a16:creationId xmlns:a16="http://schemas.microsoft.com/office/drawing/2014/main" id="{7A5B05A9-E52F-7BBC-49F9-EF19A3E94575}"/>
            </a:ext>
          </a:extLst>
        </xdr:cNvPr>
        <xdr:cNvSpPr/>
      </xdr:nvSpPr>
      <xdr:spPr>
        <a:xfrm>
          <a:off x="17893323" y="190500"/>
          <a:ext cx="2143369" cy="8254023"/>
        </a:xfrm>
        <a:prstGeom prst="roundRect">
          <a:avLst>
            <a:gd name="adj" fmla="val 5805"/>
          </a:avLst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n-US" sz="1000" b="0" i="1">
            <a:solidFill>
              <a:schemeClr val="bg1">
                <a:lumMod val="75000"/>
              </a:schemeClr>
            </a:solidFill>
          </a:endParaRPr>
        </a:p>
      </xdr:txBody>
    </xdr:sp>
    <xdr:clientData/>
  </xdr:twoCellAnchor>
  <xdr:twoCellAnchor>
    <xdr:from>
      <xdr:col>23</xdr:col>
      <xdr:colOff>423985</xdr:colOff>
      <xdr:row>4</xdr:row>
      <xdr:rowOff>43854</xdr:rowOff>
    </xdr:from>
    <xdr:to>
      <xdr:col>26</xdr:col>
      <xdr:colOff>266242</xdr:colOff>
      <xdr:row>24</xdr:row>
      <xdr:rowOff>92094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2" name="Sales_month">
              <a:extLst>
                <a:ext uri="{FF2B5EF4-FFF2-40B4-BE49-F238E27FC236}">
                  <a16:creationId xmlns:a16="http://schemas.microsoft.com/office/drawing/2014/main" id="{B85F4A6F-0FB1-485C-AB8C-47D7A834823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ales_month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009750" y="820795"/>
              <a:ext cx="1859316" cy="406741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此圖案代表交叉分析篩選器。Excel 2010 或更新版本支援交叉分析篩選器。
如果圖案是在舊版 Excel 中修改，或如果活頁簿是在 Excel 2003 或較舊版本中儲存，則交叉分析篩選器無法使用。</a:t>
              </a:r>
            </a:p>
          </xdr:txBody>
        </xdr:sp>
      </mc:Fallback>
    </mc:AlternateContent>
    <xdr:clientData/>
  </xdr:twoCellAnchor>
  <xdr:twoCellAnchor editAs="oneCell">
    <xdr:from>
      <xdr:col>23</xdr:col>
      <xdr:colOff>423985</xdr:colOff>
      <xdr:row>28</xdr:row>
      <xdr:rowOff>39704</xdr:rowOff>
    </xdr:from>
    <xdr:to>
      <xdr:col>26</xdr:col>
      <xdr:colOff>295589</xdr:colOff>
      <xdr:row>39</xdr:row>
      <xdr:rowOff>46299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33" name="sales_date 1">
              <a:extLst>
                <a:ext uri="{FF2B5EF4-FFF2-40B4-BE49-F238E27FC236}">
                  <a16:creationId xmlns:a16="http://schemas.microsoft.com/office/drawing/2014/main" id="{2BEB9A2B-7377-4FCF-A8EE-8078AF84CBC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sales_dat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009750" y="5612763"/>
              <a:ext cx="1888663" cy="214318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時間表: 適用於 Excel 2013 或更新版本。請勿移動或調整大小。</a:t>
              </a:r>
            </a:p>
          </xdr:txBody>
        </xdr:sp>
      </mc:Fallback>
    </mc:AlternateContent>
    <xdr:clientData/>
  </xdr:twoCellAnchor>
  <xdr:twoCellAnchor>
    <xdr:from>
      <xdr:col>23</xdr:col>
      <xdr:colOff>527539</xdr:colOff>
      <xdr:row>1</xdr:row>
      <xdr:rowOff>188546</xdr:rowOff>
    </xdr:from>
    <xdr:to>
      <xdr:col>26</xdr:col>
      <xdr:colOff>166077</xdr:colOff>
      <xdr:row>3</xdr:row>
      <xdr:rowOff>139700</xdr:rowOff>
    </xdr:to>
    <xdr:sp macro="" textlink="">
      <xdr:nvSpPr>
        <xdr:cNvPr id="34" name="文字方塊 33">
          <a:extLst>
            <a:ext uri="{FF2B5EF4-FFF2-40B4-BE49-F238E27FC236}">
              <a16:creationId xmlns:a16="http://schemas.microsoft.com/office/drawing/2014/main" id="{31D3FF4E-18D3-35EC-83F2-A27883DBA29E}"/>
            </a:ext>
          </a:extLst>
        </xdr:cNvPr>
        <xdr:cNvSpPr txBox="1"/>
      </xdr:nvSpPr>
      <xdr:spPr>
        <a:xfrm>
          <a:off x="18129739" y="391746"/>
          <a:ext cx="1657838" cy="35755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700" b="1">
              <a:solidFill>
                <a:schemeClr val="accent1"/>
              </a:solidFill>
            </a:rPr>
            <a:t>Month</a:t>
          </a:r>
          <a:r>
            <a:rPr lang="en-US" sz="1700" b="1" baseline="0">
              <a:solidFill>
                <a:schemeClr val="accent1"/>
              </a:solidFill>
            </a:rPr>
            <a:t> </a:t>
          </a:r>
          <a:r>
            <a:rPr lang="en-US" sz="1700" b="1">
              <a:solidFill>
                <a:schemeClr val="accent1"/>
              </a:solidFill>
            </a:rPr>
            <a:t>Filter</a:t>
          </a:r>
        </a:p>
      </xdr:txBody>
    </xdr:sp>
    <xdr:clientData/>
  </xdr:twoCellAnchor>
  <xdr:twoCellAnchor>
    <xdr:from>
      <xdr:col>23</xdr:col>
      <xdr:colOff>527539</xdr:colOff>
      <xdr:row>25</xdr:row>
      <xdr:rowOff>143053</xdr:rowOff>
    </xdr:from>
    <xdr:to>
      <xdr:col>26</xdr:col>
      <xdr:colOff>166077</xdr:colOff>
      <xdr:row>27</xdr:row>
      <xdr:rowOff>94208</xdr:rowOff>
    </xdr:to>
    <xdr:sp macro="" textlink="">
      <xdr:nvSpPr>
        <xdr:cNvPr id="35" name="文字方塊 34">
          <a:extLst>
            <a:ext uri="{FF2B5EF4-FFF2-40B4-BE49-F238E27FC236}">
              <a16:creationId xmlns:a16="http://schemas.microsoft.com/office/drawing/2014/main" id="{0BB3E427-8C4C-A311-7CE8-A834E108219A}"/>
            </a:ext>
          </a:extLst>
        </xdr:cNvPr>
        <xdr:cNvSpPr txBox="1"/>
      </xdr:nvSpPr>
      <xdr:spPr>
        <a:xfrm>
          <a:off x="18087658" y="5113113"/>
          <a:ext cx="1651583" cy="33784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700" b="1">
              <a:solidFill>
                <a:schemeClr val="accent1"/>
              </a:solidFill>
            </a:rPr>
            <a:t>Timeline</a:t>
          </a:r>
          <a:r>
            <a:rPr lang="en-US" sz="1700" b="1" baseline="0">
              <a:solidFill>
                <a:schemeClr val="accent1"/>
              </a:solidFill>
            </a:rPr>
            <a:t> </a:t>
          </a:r>
          <a:r>
            <a:rPr lang="en-US" sz="1700" b="1">
              <a:solidFill>
                <a:schemeClr val="accent1"/>
              </a:solidFill>
            </a:rPr>
            <a:t>Filter</a:t>
          </a:r>
        </a:p>
      </xdr:txBody>
    </xdr:sp>
    <xdr:clientData/>
  </xdr:twoCellAnchor>
  <xdr:twoCellAnchor>
    <xdr:from>
      <xdr:col>0</xdr:col>
      <xdr:colOff>131704</xdr:colOff>
      <xdr:row>7</xdr:row>
      <xdr:rowOff>23518</xdr:rowOff>
    </xdr:from>
    <xdr:to>
      <xdr:col>0</xdr:col>
      <xdr:colOff>1872074</xdr:colOff>
      <xdr:row>8</xdr:row>
      <xdr:rowOff>172228</xdr:rowOff>
    </xdr:to>
    <xdr:sp macro="" textlink="">
      <xdr:nvSpPr>
        <xdr:cNvPr id="36" name="文字方塊 35">
          <a:extLst>
            <a:ext uri="{FF2B5EF4-FFF2-40B4-BE49-F238E27FC236}">
              <a16:creationId xmlns:a16="http://schemas.microsoft.com/office/drawing/2014/main" id="{55824B15-09FF-4125-96CA-82FF62854E1F}"/>
            </a:ext>
          </a:extLst>
        </xdr:cNvPr>
        <xdr:cNvSpPr txBox="1"/>
      </xdr:nvSpPr>
      <xdr:spPr>
        <a:xfrm>
          <a:off x="131704" y="1533407"/>
          <a:ext cx="1740370" cy="3462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700" b="1">
              <a:solidFill>
                <a:schemeClr val="accent1"/>
              </a:solidFill>
            </a:rPr>
            <a:t>Categories</a:t>
          </a:r>
          <a:r>
            <a:rPr lang="en-US" sz="1700" b="1" baseline="0">
              <a:solidFill>
                <a:schemeClr val="accent1"/>
              </a:solidFill>
            </a:rPr>
            <a:t> </a:t>
          </a:r>
          <a:r>
            <a:rPr lang="en-US" sz="1700" b="1">
              <a:solidFill>
                <a:schemeClr val="accent1"/>
              </a:solidFill>
            </a:rPr>
            <a:t>Filter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47161</xdr:colOff>
      <xdr:row>0</xdr:row>
      <xdr:rowOff>0</xdr:rowOff>
    </xdr:from>
    <xdr:to>
      <xdr:col>20</xdr:col>
      <xdr:colOff>47625</xdr:colOff>
      <xdr:row>23</xdr:row>
      <xdr:rowOff>187063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8F028F32-CD1D-26B8-6594-735E26728C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20</xdr:col>
      <xdr:colOff>117593</xdr:colOff>
      <xdr:row>0</xdr:row>
      <xdr:rowOff>0</xdr:rowOff>
    </xdr:from>
    <xdr:to>
      <xdr:col>22</xdr:col>
      <xdr:colOff>610005</xdr:colOff>
      <xdr:row>17</xdr:row>
      <xdr:rowOff>109882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category_name">
              <a:extLst>
                <a:ext uri="{FF2B5EF4-FFF2-40B4-BE49-F238E27FC236}">
                  <a16:creationId xmlns:a16="http://schemas.microsoft.com/office/drawing/2014/main" id="{4180A6D3-E15B-26AD-8FA9-00AF9965E2F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_nam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934260" y="0"/>
              <a:ext cx="1828264" cy="345891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此圖案代表交叉分析篩選器。Excel 2010 或更新版本支援交叉分析篩選器。
如果圖案是在舊版 Excel 中修改，或如果活頁簿是在 Excel 2003 或較舊版本中儲存，則交叉分析篩選器無法使用。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3014</xdr:colOff>
      <xdr:row>0</xdr:row>
      <xdr:rowOff>83592</xdr:rowOff>
    </xdr:from>
    <xdr:to>
      <xdr:col>16</xdr:col>
      <xdr:colOff>164695</xdr:colOff>
      <xdr:row>25</xdr:row>
      <xdr:rowOff>55138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5D733F23-1FD8-2D7C-61C9-D5A6F0FA12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331292</xdr:colOff>
      <xdr:row>14</xdr:row>
      <xdr:rowOff>67713</xdr:rowOff>
    </xdr:from>
    <xdr:to>
      <xdr:col>2</xdr:col>
      <xdr:colOff>704416</xdr:colOff>
      <xdr:row>25</xdr:row>
      <xdr:rowOff>19292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8" name="sales_date">
              <a:extLst>
                <a:ext uri="{FF2B5EF4-FFF2-40B4-BE49-F238E27FC236}">
                  <a16:creationId xmlns:a16="http://schemas.microsoft.com/office/drawing/2014/main" id="{C6D72470-1AC2-8058-4DAD-3C72AC45029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sales_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12158" y="2774519"/>
              <a:ext cx="1919870" cy="20783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時間表: 適用於 Excel 2013 或更新版本。請勿移動或調整大小。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120815</xdr:colOff>
      <xdr:row>0</xdr:row>
      <xdr:rowOff>0</xdr:rowOff>
    </xdr:from>
    <xdr:to>
      <xdr:col>11</xdr:col>
      <xdr:colOff>335773</xdr:colOff>
      <xdr:row>19</xdr:row>
      <xdr:rowOff>105205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22D05540-2308-E6AA-CC7E-2C8AE45D80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haron" refreshedDate="46155.719550810187" backgroundQuery="1" createdVersion="8" refreshedVersion="8" minRefreshableVersion="3" recordCount="0" supportSubquery="1" supportAdvancedDrill="1" xr:uid="{8698D792-33D9-472A-8AE2-1D5ADD794463}">
  <cacheSource type="external" connectionId="1"/>
  <cacheFields count="4">
    <cacheField name="[Category].[category_name].[category_name]" caption="category_name" numFmtId="0" hierarchy="1" level="1">
      <sharedItems count="10">
        <s v="Beverages"/>
        <s v="Electronics Accessories"/>
        <s v="Fresh Food"/>
        <s v="Frozen Food"/>
        <s v="Household Items"/>
        <s v="Personal Care"/>
        <s v="Pet Supplies"/>
        <s v="Snacks"/>
        <s v="Stationery"/>
        <s v="Toys"/>
      </sharedItems>
    </cacheField>
    <cacheField name="[Measures].[以下資料的總和: sales_quantity]" caption="以下資料的總和: sales_quantity" numFmtId="0" hierarchy="35" level="32767"/>
    <cacheField name="[Sales].[sales_date (年)].[sales_date (年)]" caption="sales_date (年)" numFmtId="0" hierarchy="17" level="1">
      <sharedItems containsSemiMixedTypes="0" containsNonDate="0" containsString="0"/>
    </cacheField>
    <cacheField name="[Sales].[sales_date (季)].[sales_date (季)]" caption="sales_date (季)" numFmtId="0" hierarchy="18" level="1">
      <sharedItems containsSemiMixedTypes="0" containsNonDate="0" containsString="0"/>
    </cacheField>
  </cacheFields>
  <cacheHierarchies count="45">
    <cacheHierarchy uniqueName="[Category].[category_id]" caption="category_id" attribute="1" defaultMemberUniqueName="[Category].[category_id].[All]" allUniqueName="[Category].[category_id].[All]" dimensionUniqueName="[Category]" displayFolder="" count="0" memberValueDatatype="20" unbalanced="0"/>
    <cacheHierarchy uniqueName="[Category].[category_name]" caption="category_name" attribute="1" defaultMemberUniqueName="[Category].[category_name].[All]" allUniqueName="[Category].[category_name].[All]" dimensionUniqueName="[Category]" displayFolder="" count="2" memberValueDatatype="130" unbalanced="0">
      <fieldsUsage count="2">
        <fieldUsage x="-1"/>
        <fieldUsage x="0"/>
      </fieldsUsage>
    </cacheHierarchy>
    <cacheHierarchy uniqueName="[Category].[category_description]" caption="category_description" attribute="1" defaultMemberUniqueName="[Category].[category_description].[All]" allUniqueName="[Category].[category_description].[All]" dimensionUniqueName="[Category]" displayFolder="" count="0" memberValueDatatype="130" unbalanced="0"/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20" unbalanced="0"/>
    <cacheHierarchy uniqueName="[Customers].[customer_name]" caption="customer_name" attribute="1" defaultMemberUniqueName="[Customers].[customer_name].[All]" allUniqueName="[Customers].[customer_name].[All]" dimensionUniqueName="[Customers]" displayFolder="" count="0" memberValueDatatype="130" unbalanced="0"/>
    <cacheHierarchy uniqueName="[Customers].[customer_email]" caption="customer_email" attribute="1" defaultMemberUniqueName="[Customers].[customer_email].[All]" allUniqueName="[Customers].[customer_email].[All]" dimensionUniqueName="[Customers]" displayFolder="" count="0" memberValueDatatype="130" unbalanced="0"/>
    <cacheHierarchy uniqueName="[Customers].[customer_join_date]" caption="customer_join_date" attribute="1" time="1" defaultMemberUniqueName="[Customers].[customer_join_date].[All]" allUniqueName="[Customers].[customer_join_date].[All]" dimensionUniqueName="[Customers]" displayFolder="" count="0" memberValueDatatype="7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2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product_price]" caption="product_price" attribute="1" defaultMemberUniqueName="[Products].[product_price].[All]" allUniqueName="[Products].[product_price].[All]" dimensionUniqueName="[Products]" displayFolder="" count="0" memberValueDatatype="5" unbalanced="0"/>
    <cacheHierarchy uniqueName="[Products].[product_stock]" caption="product_stock" attribute="1" defaultMemberUniqueName="[Products].[product_stock].[All]" allUniqueName="[Products].[product_stock].[All]" dimensionUniqueName="[Products]" displayFolder="" count="0" memberValueDatatype="20" unbalanced="0"/>
    <cacheHierarchy uniqueName="[Products].[product_sku]" caption="product_sku" attribute="1" defaultMemberUniqueName="[Products].[product_sku].[All]" allUniqueName="[Products].[product_sku].[All]" dimensionUniqueName="[Products]" displayFolder="" count="0" memberValueDatatype="5" unbalanced="0"/>
    <cacheHierarchy uniqueName="[Products].[category_id]" caption="category_id" attribute="1" defaultMemberUniqueName="[Products].[category_id].[All]" allUniqueName="[Products].[category_id].[All]" dimensionUniqueName="[Products]" displayFolder="" count="0" memberValueDatatype="20" unbalanced="0"/>
    <cacheHierarchy uniqueName="[Sales].[sales_id]" caption="sales_id" attribute="1" defaultMemberUniqueName="[Sales].[sales_id].[All]" allUniqueName="[Sales].[sales_id].[All]" dimensionUniqueName="[Sales]" displayFolder="" count="0" memberValueDatatype="20" unbalanced="0"/>
    <cacheHierarchy uniqueName="[Sales].[sales_date]" caption="sales_date" attribute="1" time="1" defaultMemberUniqueName="[Sales].[sales_date].[All]" allUniqueName="[Sales].[sales_date].[All]" dimensionUniqueName="[Sales]" displayFolder="" count="2" memberValueDatatype="7" unbalanced="0"/>
    <cacheHierarchy uniqueName="[Sales].[customer_id]" caption="customer_id" attribute="1" defaultMemberUniqueName="[Sales].[customer_id].[All]" allUniqueName="[Sales].[customer_id].[All]" dimensionUniqueName="[Sales]" displayFolder="" count="0" memberValueDatatype="20" unbalanced="0"/>
    <cacheHierarchy uniqueName="[Sales].[sales_status]" caption="sales_status" attribute="1" defaultMemberUniqueName="[Sales].[sales_status].[All]" allUniqueName="[Sales].[sales_status].[All]" dimensionUniqueName="[Sales]" displayFolder="" count="0" memberValueDatatype="130" unbalanced="0"/>
    <cacheHierarchy uniqueName="[Sales].[sales_date (年)]" caption="sales_date (年)" attribute="1" defaultMemberUniqueName="[Sales].[sales_date (年)].[All]" allUniqueName="[Sales].[sales_date (年)].[All]" dimensionUniqueName="[Sales]" displayFolder="" count="2" memberValueDatatype="130" unbalanced="0">
      <fieldsUsage count="2">
        <fieldUsage x="-1"/>
        <fieldUsage x="2"/>
      </fieldsUsage>
    </cacheHierarchy>
    <cacheHierarchy uniqueName="[Sales].[sales_date (季)]" caption="sales_date (季)" attribute="1" defaultMemberUniqueName="[Sales].[sales_date (季)].[All]" allUniqueName="[Sales].[sales_date (季)].[All]" dimensionUniqueName="[Sales]" displayFolder="" count="2" memberValueDatatype="130" unbalanced="0">
      <fieldsUsage count="2">
        <fieldUsage x="-1"/>
        <fieldUsage x="3"/>
      </fieldsUsage>
    </cacheHierarchy>
    <cacheHierarchy uniqueName="[Sales].[sales_date (月)]" caption="sales_date (月)" attribute="1" defaultMemberUniqueName="[Sales].[sales_date (月)].[All]" allUniqueName="[Sales].[sales_date (月)].[All]" dimensionUniqueName="[Sales]" displayFolder="" count="2" memberValueDatatype="130" unbalanced="0"/>
    <cacheHierarchy uniqueName="[Sales].[sales_time]" caption="sales_time" attribute="1" defaultMemberUniqueName="[Sales].[sales_time].[All]" allUniqueName="[Sales].[sales_time].[All]" dimensionUniqueName="[Sales]" displayFolder="" count="0" memberValueDatatype="20" unbalanced="0"/>
    <cacheHierarchy uniqueName="[Sales].[sales_time 2]" caption="sales_time 2" attribute="1" defaultMemberUniqueName="[Sales].[sales_time 2].[All]" allUniqueName="[Sales].[sales_time 2].[All]" dimensionUniqueName="[Sales]" displayFolder="" count="0" memberValueDatatype="130" unbalanced="0"/>
    <cacheHierarchy uniqueName="[Sales].[Hour]" caption="Hour" attribute="1" defaultMemberUniqueName="[Sales].[Hour].[All]" allUniqueName="[Sales].[Hour].[All]" dimensionUniqueName="[Sales]" displayFolder="" count="0" memberValueDatatype="20" unbalanced="0"/>
    <cacheHierarchy uniqueName="[Sales_item].[sales_item]" caption="sales_item" attribute="1" defaultMemberUniqueName="[Sales_item].[sales_item].[All]" allUniqueName="[Sales_item].[sales_item].[All]" dimensionUniqueName="[Sales_item]" displayFolder="" count="0" memberValueDatatype="20" unbalanced="0"/>
    <cacheHierarchy uniqueName="[Sales_item].[sales_id]" caption="sales_id" attribute="1" defaultMemberUniqueName="[Sales_item].[sales_id].[All]" allUniqueName="[Sales_item].[sales_id].[All]" dimensionUniqueName="[Sales_item]" displayFolder="" count="0" memberValueDatatype="20" unbalanced="0"/>
    <cacheHierarchy uniqueName="[Sales_item].[product_id]" caption="product_id" attribute="1" defaultMemberUniqueName="[Sales_item].[product_id].[All]" allUniqueName="[Sales_item].[product_id].[All]" dimensionUniqueName="[Sales_item]" displayFolder="" count="0" memberValueDatatype="20" unbalanced="0"/>
    <cacheHierarchy uniqueName="[Sales_item].[sales_quantity]" caption="sales_quantity" attribute="1" defaultMemberUniqueName="[Sales_item].[sales_quantity].[All]" allUniqueName="[Sales_item].[sales_quantity].[All]" dimensionUniqueName="[Sales_item]" displayFolder="" count="0" memberValueDatatype="20" unbalanced="0"/>
    <cacheHierarchy uniqueName="[Sales_item].[subtotal]" caption="subtotal" attribute="1" defaultMemberUniqueName="[Sales_item].[subtotal].[All]" allUniqueName="[Sales_item].[subtotal].[All]" dimensionUniqueName="[Sales_item]" displayFolder="" count="0" memberValueDatatype="5" unbalanced="0"/>
    <cacheHierarchy uniqueName="[Sales].[sales_date (月份索引)]" caption="sales_date (月份索引)" attribute="1" defaultMemberUniqueName="[Sales].[sales_date (月份索引)].[All]" allUniqueName="[Sales].[sales_date (月份索引)].[All]" dimensionUniqueName="[Sales]" displayFolder="" count="0" memberValueDatatype="20" unbalanced="0" hidden="1"/>
    <cacheHierarchy uniqueName="[Measures].[__XL_Count Sales]" caption="__XL_Count Sales" measure="1" displayFolder="" measureGroup="Sales" count="0" hidden="1"/>
    <cacheHierarchy uniqueName="[Measures].[__XL_Count Customers]" caption="__XL_Count Customers" measure="1" displayFolder="" measureGroup="Customers" count="0" hidden="1"/>
    <cacheHierarchy uniqueName="[Measures].[__XL_Count Category]" caption="__XL_Count Category" measure="1" displayFolder="" measureGroup="Category" count="0" hidden="1"/>
    <cacheHierarchy uniqueName="[Measures].[__XL_Count Products]" caption="__XL_Count Products" measure="1" displayFolder="" measureGroup="Products" count="0" hidden="1"/>
    <cacheHierarchy uniqueName="[Measures].[__XL_Count Sales_item]" caption="__XL_Count Sales_item" measure="1" displayFolder="" measureGroup="Sales_item" count="0" hidden="1"/>
    <cacheHierarchy uniqueName="[Measures].[__沒有定義量值]" caption="__沒有定義量值" measure="1" displayFolder="" count="0" hidden="1"/>
    <cacheHierarchy uniqueName="[Measures].[以下資料的總和: sales_quantity]" caption="以下資料的總和: sales_quantity" measure="1" displayFolder="" measureGroup="Sales_item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以下資料的總和: subtotal]" caption="以下資料的總和: subtotal" measure="1" displayFolder="" measureGroup="Sales_item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以下資料的總和: sales_time]" caption="以下資料的總和: sales_time" measure="1" displayFolder="" measureGroup="Sale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以下資料的項目個數: sales_time]" caption="以下資料的項目個數: sales_time" measure="1" displayFolder="" measureGroup="Sale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以下資料的總和: sales_id]" caption="以下資料的總和: sales_id" measure="1" displayFolder="" measureGroup="Sale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以下資料的項目個數: sales_id]" caption="以下資料的項目個數: sales_id" measure="1" displayFolder="" measureGroup="Sale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以下資料的總和: Hour]" caption="以下資料的總和: Hour" measure="1" displayFolder="" measureGroup="Sale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以下資料的總和: sales_id 2]" caption="以下資料的總和: sales_id 2" measure="1" displayFolder="" measureGroup="Sales_item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以下資料的項目個數: sales_id 2]" caption="以下資料的項目個數: sales_id 2" measure="1" displayFolder="" measureGroup="Sales_item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以下資料的平均值: subtotal]" caption="以下資料的平均值: subtotal" measure="1" displayFolder="" measureGroup="Sales_item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</cacheHierarchies>
  <kpis count="0"/>
  <dimensions count="6">
    <dimension name="Category" uniqueName="[Category]" caption="Category"/>
    <dimension name="Customers" uniqueName="[Customers]" caption="Customers"/>
    <dimension measure="1" name="Measures" uniqueName="[Measures]" caption="Measures"/>
    <dimension name="Products" uniqueName="[Products]" caption="Products"/>
    <dimension name="Sales" uniqueName="[Sales]" caption="Sales"/>
    <dimension name="Sales_item" uniqueName="[Sales_item]" caption="Sales_item"/>
  </dimensions>
  <measureGroups count="5">
    <measureGroup name="Category" caption="Category"/>
    <measureGroup name="Customers" caption="Customers"/>
    <measureGroup name="Products" caption="Products"/>
    <measureGroup name="Sales" caption="Sales"/>
    <measureGroup name="Sales_item" caption="Sales_item"/>
  </measureGroups>
  <maps count="11">
    <map measureGroup="0" dimension="0"/>
    <map measureGroup="1" dimension="1"/>
    <map measureGroup="2" dimension="0"/>
    <map measureGroup="2" dimension="3"/>
    <map measureGroup="3" dimension="1"/>
    <map measureGroup="3" dimension="4"/>
    <map measureGroup="4" dimension="0"/>
    <map measureGroup="4" dimension="1"/>
    <map measureGroup="4" dimension="3"/>
    <map measureGroup="4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haron" refreshedDate="46155.71955115741" backgroundQuery="1" createdVersion="8" refreshedVersion="8" minRefreshableVersion="3" recordCount="0" supportSubquery="1" supportAdvancedDrill="1" xr:uid="{61170FC4-D67C-4488-8E68-C44A341E4AA1}">
  <cacheSource type="external" connectionId="1"/>
  <cacheFields count="2">
    <cacheField name="[Sales].[Hour].[Hour]" caption="Hour" numFmtId="0" hierarchy="22" level="1">
      <sharedItems containsSemiMixedTypes="0" containsString="0" containsNumber="1" containsInteger="1" minValue="9" maxValue="20" count="12">
        <n v="9"/>
        <n v="10"/>
        <n v="11"/>
        <n v="12"/>
        <n v="13"/>
        <n v="14"/>
        <n v="15"/>
        <n v="16"/>
        <n v="17"/>
        <n v="18"/>
        <n v="19"/>
        <n v="20"/>
      </sharedItems>
      <extLst>
        <ext xmlns:x15="http://schemas.microsoft.com/office/spreadsheetml/2010/11/main" uri="{4F2E5C28-24EA-4eb8-9CBF-B6C8F9C3D259}">
          <x15:cachedUniqueNames>
            <x15:cachedUniqueName index="0" name="[Sales].[Hour].&amp;[9]"/>
            <x15:cachedUniqueName index="1" name="[Sales].[Hour].&amp;[10]"/>
            <x15:cachedUniqueName index="2" name="[Sales].[Hour].&amp;[11]"/>
            <x15:cachedUniqueName index="3" name="[Sales].[Hour].&amp;[12]"/>
            <x15:cachedUniqueName index="4" name="[Sales].[Hour].&amp;[13]"/>
            <x15:cachedUniqueName index="5" name="[Sales].[Hour].&amp;[14]"/>
            <x15:cachedUniqueName index="6" name="[Sales].[Hour].&amp;[15]"/>
            <x15:cachedUniqueName index="7" name="[Sales].[Hour].&amp;[16]"/>
            <x15:cachedUniqueName index="8" name="[Sales].[Hour].&amp;[17]"/>
            <x15:cachedUniqueName index="9" name="[Sales].[Hour].&amp;[18]"/>
            <x15:cachedUniqueName index="10" name="[Sales].[Hour].&amp;[19]"/>
            <x15:cachedUniqueName index="11" name="[Sales].[Hour].&amp;[20]"/>
          </x15:cachedUniqueNames>
        </ext>
      </extLst>
    </cacheField>
    <cacheField name="[Measures].[以下資料的項目個數: sales_id]" caption="以下資料的項目個數: sales_id" numFmtId="0" hierarchy="40" level="32767"/>
  </cacheFields>
  <cacheHierarchies count="45">
    <cacheHierarchy uniqueName="[Category].[category_id]" caption="category_id" attribute="1" defaultMemberUniqueName="[Category].[category_id].[All]" allUniqueName="[Category].[category_id].[All]" dimensionUniqueName="[Category]" displayFolder="" count="0" memberValueDatatype="20" unbalanced="0"/>
    <cacheHierarchy uniqueName="[Category].[category_name]" caption="category_name" attribute="1" defaultMemberUniqueName="[Category].[category_name].[All]" allUniqueName="[Category].[category_name].[All]" dimensionUniqueName="[Category]" displayFolder="" count="0" memberValueDatatype="130" unbalanced="0"/>
    <cacheHierarchy uniqueName="[Category].[category_description]" caption="category_description" attribute="1" defaultMemberUniqueName="[Category].[category_description].[All]" allUniqueName="[Category].[category_description].[All]" dimensionUniqueName="[Category]" displayFolder="" count="0" memberValueDatatype="130" unbalanced="0"/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20" unbalanced="0"/>
    <cacheHierarchy uniqueName="[Customers].[customer_name]" caption="customer_name" attribute="1" defaultMemberUniqueName="[Customers].[customer_name].[All]" allUniqueName="[Customers].[customer_name].[All]" dimensionUniqueName="[Customers]" displayFolder="" count="0" memberValueDatatype="130" unbalanced="0"/>
    <cacheHierarchy uniqueName="[Customers].[customer_email]" caption="customer_email" attribute="1" defaultMemberUniqueName="[Customers].[customer_email].[All]" allUniqueName="[Customers].[customer_email].[All]" dimensionUniqueName="[Customers]" displayFolder="" count="0" memberValueDatatype="130" unbalanced="0"/>
    <cacheHierarchy uniqueName="[Customers].[customer_join_date]" caption="customer_join_date" attribute="1" time="1" defaultMemberUniqueName="[Customers].[customer_join_date].[All]" allUniqueName="[Customers].[customer_join_date].[All]" dimensionUniqueName="[Customers]" displayFolder="" count="0" memberValueDatatype="7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2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product_price]" caption="product_price" attribute="1" defaultMemberUniqueName="[Products].[product_price].[All]" allUniqueName="[Products].[product_price].[All]" dimensionUniqueName="[Products]" displayFolder="" count="0" memberValueDatatype="5" unbalanced="0"/>
    <cacheHierarchy uniqueName="[Products].[product_stock]" caption="product_stock" attribute="1" defaultMemberUniqueName="[Products].[product_stock].[All]" allUniqueName="[Products].[product_stock].[All]" dimensionUniqueName="[Products]" displayFolder="" count="0" memberValueDatatype="20" unbalanced="0"/>
    <cacheHierarchy uniqueName="[Products].[product_sku]" caption="product_sku" attribute="1" defaultMemberUniqueName="[Products].[product_sku].[All]" allUniqueName="[Products].[product_sku].[All]" dimensionUniqueName="[Products]" displayFolder="" count="0" memberValueDatatype="5" unbalanced="0"/>
    <cacheHierarchy uniqueName="[Products].[category_id]" caption="category_id" attribute="1" defaultMemberUniqueName="[Products].[category_id].[All]" allUniqueName="[Products].[category_id].[All]" dimensionUniqueName="[Products]" displayFolder="" count="0" memberValueDatatype="20" unbalanced="0"/>
    <cacheHierarchy uniqueName="[Sales].[sales_id]" caption="sales_id" attribute="1" defaultMemberUniqueName="[Sales].[sales_id].[All]" allUniqueName="[Sales].[sales_id].[All]" dimensionUniqueName="[Sales]" displayFolder="" count="0" memberValueDatatype="20" unbalanced="0"/>
    <cacheHierarchy uniqueName="[Sales].[sales_date]" caption="sales_date" attribute="1" time="1" defaultMemberUniqueName="[Sales].[sales_date].[All]" allUniqueName="[Sales].[sales_date].[All]" dimensionUniqueName="[Sales]" displayFolder="" count="2" memberValueDatatype="7" unbalanced="0"/>
    <cacheHierarchy uniqueName="[Sales].[customer_id]" caption="customer_id" attribute="1" defaultMemberUniqueName="[Sales].[customer_id].[All]" allUniqueName="[Sales].[customer_id].[All]" dimensionUniqueName="[Sales]" displayFolder="" count="0" memberValueDatatype="20" unbalanced="0"/>
    <cacheHierarchy uniqueName="[Sales].[sales_status]" caption="sales_status" attribute="1" defaultMemberUniqueName="[Sales].[sales_status].[All]" allUniqueName="[Sales].[sales_status].[All]" dimensionUniqueName="[Sales]" displayFolder="" count="0" memberValueDatatype="130" unbalanced="0"/>
    <cacheHierarchy uniqueName="[Sales].[sales_date (年)]" caption="sales_date (年)" attribute="1" defaultMemberUniqueName="[Sales].[sales_date (年)].[All]" allUniqueName="[Sales].[sales_date (年)].[All]" dimensionUniqueName="[Sales]" displayFolder="" count="0" memberValueDatatype="130" unbalanced="0"/>
    <cacheHierarchy uniqueName="[Sales].[sales_date (季)]" caption="sales_date (季)" attribute="1" defaultMemberUniqueName="[Sales].[sales_date (季)].[All]" allUniqueName="[Sales].[sales_date (季)].[All]" dimensionUniqueName="[Sales]" displayFolder="" count="0" memberValueDatatype="130" unbalanced="0"/>
    <cacheHierarchy uniqueName="[Sales].[sales_date (月)]" caption="sales_date (月)" attribute="1" defaultMemberUniqueName="[Sales].[sales_date (月)].[All]" allUniqueName="[Sales].[sales_date (月)].[All]" dimensionUniqueName="[Sales]" displayFolder="" count="0" memberValueDatatype="130" unbalanced="0"/>
    <cacheHierarchy uniqueName="[Sales].[sales_time]" caption="sales_time" attribute="1" defaultMemberUniqueName="[Sales].[sales_time].[All]" allUniqueName="[Sales].[sales_time].[All]" dimensionUniqueName="[Sales]" displayFolder="" count="0" memberValueDatatype="20" unbalanced="0"/>
    <cacheHierarchy uniqueName="[Sales].[sales_time 2]" caption="sales_time 2" attribute="1" defaultMemberUniqueName="[Sales].[sales_time 2].[All]" allUniqueName="[Sales].[sales_time 2].[All]" dimensionUniqueName="[Sales]" displayFolder="" count="0" memberValueDatatype="130" unbalanced="0"/>
    <cacheHierarchy uniqueName="[Sales].[Hour]" caption="Hour" attribute="1" defaultMemberUniqueName="[Sales].[Hour].[All]" allUniqueName="[Sales].[Hour].[All]" dimensionUniqueName="[Sales]" displayFolder="" count="2" memberValueDatatype="20" unbalanced="0">
      <fieldsUsage count="2">
        <fieldUsage x="-1"/>
        <fieldUsage x="0"/>
      </fieldsUsage>
    </cacheHierarchy>
    <cacheHierarchy uniqueName="[Sales_item].[sales_item]" caption="sales_item" attribute="1" defaultMemberUniqueName="[Sales_item].[sales_item].[All]" allUniqueName="[Sales_item].[sales_item].[All]" dimensionUniqueName="[Sales_item]" displayFolder="" count="0" memberValueDatatype="20" unbalanced="0"/>
    <cacheHierarchy uniqueName="[Sales_item].[sales_id]" caption="sales_id" attribute="1" defaultMemberUniqueName="[Sales_item].[sales_id].[All]" allUniqueName="[Sales_item].[sales_id].[All]" dimensionUniqueName="[Sales_item]" displayFolder="" count="0" memberValueDatatype="20" unbalanced="0"/>
    <cacheHierarchy uniqueName="[Sales_item].[product_id]" caption="product_id" attribute="1" defaultMemberUniqueName="[Sales_item].[product_id].[All]" allUniqueName="[Sales_item].[product_id].[All]" dimensionUniqueName="[Sales_item]" displayFolder="" count="0" memberValueDatatype="20" unbalanced="0"/>
    <cacheHierarchy uniqueName="[Sales_item].[sales_quantity]" caption="sales_quantity" attribute="1" defaultMemberUniqueName="[Sales_item].[sales_quantity].[All]" allUniqueName="[Sales_item].[sales_quantity].[All]" dimensionUniqueName="[Sales_item]" displayFolder="" count="0" memberValueDatatype="20" unbalanced="0"/>
    <cacheHierarchy uniqueName="[Sales_item].[subtotal]" caption="subtotal" attribute="1" defaultMemberUniqueName="[Sales_item].[subtotal].[All]" allUniqueName="[Sales_item].[subtotal].[All]" dimensionUniqueName="[Sales_item]" displayFolder="" count="0" memberValueDatatype="5" unbalanced="0"/>
    <cacheHierarchy uniqueName="[Sales].[sales_date (月份索引)]" caption="sales_date (月份索引)" attribute="1" defaultMemberUniqueName="[Sales].[sales_date (月份索引)].[All]" allUniqueName="[Sales].[sales_date (月份索引)].[All]" dimensionUniqueName="[Sales]" displayFolder="" count="0" memberValueDatatype="20" unbalanced="0" hidden="1"/>
    <cacheHierarchy uniqueName="[Measures].[__XL_Count Sales]" caption="__XL_Count Sales" measure="1" displayFolder="" measureGroup="Sales" count="0" hidden="1"/>
    <cacheHierarchy uniqueName="[Measures].[__XL_Count Customers]" caption="__XL_Count Customers" measure="1" displayFolder="" measureGroup="Customers" count="0" hidden="1"/>
    <cacheHierarchy uniqueName="[Measures].[__XL_Count Category]" caption="__XL_Count Category" measure="1" displayFolder="" measureGroup="Category" count="0" hidden="1"/>
    <cacheHierarchy uniqueName="[Measures].[__XL_Count Products]" caption="__XL_Count Products" measure="1" displayFolder="" measureGroup="Products" count="0" hidden="1"/>
    <cacheHierarchy uniqueName="[Measures].[__XL_Count Sales_item]" caption="__XL_Count Sales_item" measure="1" displayFolder="" measureGroup="Sales_item" count="0" hidden="1"/>
    <cacheHierarchy uniqueName="[Measures].[__沒有定義量值]" caption="__沒有定義量值" measure="1" displayFolder="" count="0" hidden="1"/>
    <cacheHierarchy uniqueName="[Measures].[以下資料的總和: sales_quantity]" caption="以下資料的總和: sales_quantity" measure="1" displayFolder="" measureGroup="Sales_item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以下資料的總和: subtotal]" caption="以下資料的總和: subtotal" measure="1" displayFolder="" measureGroup="Sales_item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以下資料的總和: sales_time]" caption="以下資料的總和: sales_time" measure="1" displayFolder="" measureGroup="Sale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以下資料的項目個數: sales_time]" caption="以下資料的項目個數: sales_time" measure="1" displayFolder="" measureGroup="Sale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以下資料的總和: sales_id]" caption="以下資料的總和: sales_id" measure="1" displayFolder="" measureGroup="Sale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以下資料的項目個數: sales_id]" caption="以下資料的項目個數: sales_id" measure="1" displayFolder="" measureGroup="Sal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以下資料的總和: Hour]" caption="以下資料的總和: Hour" measure="1" displayFolder="" measureGroup="Sale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以下資料的總和: sales_id 2]" caption="以下資料的總和: sales_id 2" measure="1" displayFolder="" measureGroup="Sales_item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以下資料的項目個數: sales_id 2]" caption="以下資料的項目個數: sales_id 2" measure="1" displayFolder="" measureGroup="Sales_item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以下資料的平均值: subtotal]" caption="以下資料的平均值: subtotal" measure="1" displayFolder="" measureGroup="Sales_item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</cacheHierarchies>
  <kpis count="0"/>
  <dimensions count="6">
    <dimension name="Category" uniqueName="[Category]" caption="Category"/>
    <dimension name="Customers" uniqueName="[Customers]" caption="Customers"/>
    <dimension measure="1" name="Measures" uniqueName="[Measures]" caption="Measures"/>
    <dimension name="Products" uniqueName="[Products]" caption="Products"/>
    <dimension name="Sales" uniqueName="[Sales]" caption="Sales"/>
    <dimension name="Sales_item" uniqueName="[Sales_item]" caption="Sales_item"/>
  </dimensions>
  <measureGroups count="5">
    <measureGroup name="Category" caption="Category"/>
    <measureGroup name="Customers" caption="Customers"/>
    <measureGroup name="Products" caption="Products"/>
    <measureGroup name="Sales" caption="Sales"/>
    <measureGroup name="Sales_item" caption="Sales_item"/>
  </measureGroups>
  <maps count="11">
    <map measureGroup="0" dimension="0"/>
    <map measureGroup="1" dimension="1"/>
    <map measureGroup="2" dimension="0"/>
    <map measureGroup="2" dimension="3"/>
    <map measureGroup="3" dimension="1"/>
    <map measureGroup="3" dimension="4"/>
    <map measureGroup="4" dimension="0"/>
    <map measureGroup="4" dimension="1"/>
    <map measureGroup="4" dimension="3"/>
    <map measureGroup="4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haron" refreshedDate="46155.719551504626" backgroundQuery="1" createdVersion="8" refreshedVersion="8" minRefreshableVersion="3" recordCount="0" supportSubquery="1" supportAdvancedDrill="1" xr:uid="{ED970B0D-E5DC-4031-83AD-51E2141F8E90}">
  <cacheSource type="external" connectionId="1"/>
  <cacheFields count="3">
    <cacheField name="[Measures].[以下資料的總和: subtotal]" caption="以下資料的總和: subtotal" numFmtId="0" hierarchy="36" level="32767"/>
    <cacheField name="[Measures].[以下資料的項目個數: sales_id 2]" caption="以下資料的項目個數: sales_id 2" numFmtId="0" hierarchy="43" level="32767"/>
    <cacheField name="[Measures].[以下資料的平均值: subtotal]" caption="以下資料的平均值: subtotal" numFmtId="0" hierarchy="44" level="32767"/>
  </cacheFields>
  <cacheHierarchies count="45">
    <cacheHierarchy uniqueName="[Category].[category_id]" caption="category_id" attribute="1" defaultMemberUniqueName="[Category].[category_id].[All]" allUniqueName="[Category].[category_id].[All]" dimensionUniqueName="[Category]" displayFolder="" count="0" memberValueDatatype="20" unbalanced="0"/>
    <cacheHierarchy uniqueName="[Category].[category_name]" caption="category_name" attribute="1" defaultMemberUniqueName="[Category].[category_name].[All]" allUniqueName="[Category].[category_name].[All]" dimensionUniqueName="[Category]" displayFolder="" count="0" memberValueDatatype="130" unbalanced="0"/>
    <cacheHierarchy uniqueName="[Category].[category_description]" caption="category_description" attribute="1" defaultMemberUniqueName="[Category].[category_description].[All]" allUniqueName="[Category].[category_description].[All]" dimensionUniqueName="[Category]" displayFolder="" count="0" memberValueDatatype="130" unbalanced="0"/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20" unbalanced="0"/>
    <cacheHierarchy uniqueName="[Customers].[customer_name]" caption="customer_name" attribute="1" defaultMemberUniqueName="[Customers].[customer_name].[All]" allUniqueName="[Customers].[customer_name].[All]" dimensionUniqueName="[Customers]" displayFolder="" count="0" memberValueDatatype="130" unbalanced="0"/>
    <cacheHierarchy uniqueName="[Customers].[customer_email]" caption="customer_email" attribute="1" defaultMemberUniqueName="[Customers].[customer_email].[All]" allUniqueName="[Customers].[customer_email].[All]" dimensionUniqueName="[Customers]" displayFolder="" count="0" memberValueDatatype="130" unbalanced="0"/>
    <cacheHierarchy uniqueName="[Customers].[customer_join_date]" caption="customer_join_date" attribute="1" time="1" defaultMemberUniqueName="[Customers].[customer_join_date].[All]" allUniqueName="[Customers].[customer_join_date].[All]" dimensionUniqueName="[Customers]" displayFolder="" count="0" memberValueDatatype="7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2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product_price]" caption="product_price" attribute="1" defaultMemberUniqueName="[Products].[product_price].[All]" allUniqueName="[Products].[product_price].[All]" dimensionUniqueName="[Products]" displayFolder="" count="0" memberValueDatatype="5" unbalanced="0"/>
    <cacheHierarchy uniqueName="[Products].[product_stock]" caption="product_stock" attribute="1" defaultMemberUniqueName="[Products].[product_stock].[All]" allUniqueName="[Products].[product_stock].[All]" dimensionUniqueName="[Products]" displayFolder="" count="0" memberValueDatatype="20" unbalanced="0"/>
    <cacheHierarchy uniqueName="[Products].[product_sku]" caption="product_sku" attribute="1" defaultMemberUniqueName="[Products].[product_sku].[All]" allUniqueName="[Products].[product_sku].[All]" dimensionUniqueName="[Products]" displayFolder="" count="0" memberValueDatatype="5" unbalanced="0"/>
    <cacheHierarchy uniqueName="[Products].[category_id]" caption="category_id" attribute="1" defaultMemberUniqueName="[Products].[category_id].[All]" allUniqueName="[Products].[category_id].[All]" dimensionUniqueName="[Products]" displayFolder="" count="0" memberValueDatatype="20" unbalanced="0"/>
    <cacheHierarchy uniqueName="[Sales].[sales_id]" caption="sales_id" attribute="1" defaultMemberUniqueName="[Sales].[sales_id].[All]" allUniqueName="[Sales].[sales_id].[All]" dimensionUniqueName="[Sales]" displayFolder="" count="0" memberValueDatatype="20" unbalanced="0"/>
    <cacheHierarchy uniqueName="[Sales].[sales_date]" caption="sales_date" attribute="1" time="1" defaultMemberUniqueName="[Sales].[sales_date].[All]" allUniqueName="[Sales].[sales_date].[All]" dimensionUniqueName="[Sales]" displayFolder="" count="2" memberValueDatatype="7" unbalanced="0"/>
    <cacheHierarchy uniqueName="[Sales].[customer_id]" caption="customer_id" attribute="1" defaultMemberUniqueName="[Sales].[customer_id].[All]" allUniqueName="[Sales].[customer_id].[All]" dimensionUniqueName="[Sales]" displayFolder="" count="0" memberValueDatatype="20" unbalanced="0"/>
    <cacheHierarchy uniqueName="[Sales].[sales_status]" caption="sales_status" attribute="1" defaultMemberUniqueName="[Sales].[sales_status].[All]" allUniqueName="[Sales].[sales_status].[All]" dimensionUniqueName="[Sales]" displayFolder="" count="0" memberValueDatatype="130" unbalanced="0"/>
    <cacheHierarchy uniqueName="[Sales].[sales_date (年)]" caption="sales_date (年)" attribute="1" defaultMemberUniqueName="[Sales].[sales_date (年)].[All]" allUniqueName="[Sales].[sales_date (年)].[All]" dimensionUniqueName="[Sales]" displayFolder="" count="0" memberValueDatatype="130" unbalanced="0"/>
    <cacheHierarchy uniqueName="[Sales].[sales_date (季)]" caption="sales_date (季)" attribute="1" defaultMemberUniqueName="[Sales].[sales_date (季)].[All]" allUniqueName="[Sales].[sales_date (季)].[All]" dimensionUniqueName="[Sales]" displayFolder="" count="0" memberValueDatatype="130" unbalanced="0"/>
    <cacheHierarchy uniqueName="[Sales].[sales_date (月)]" caption="sales_date (月)" attribute="1" defaultMemberUniqueName="[Sales].[sales_date (月)].[All]" allUniqueName="[Sales].[sales_date (月)].[All]" dimensionUniqueName="[Sales]" displayFolder="" count="0" memberValueDatatype="130" unbalanced="0"/>
    <cacheHierarchy uniqueName="[Sales].[sales_time]" caption="sales_time" attribute="1" defaultMemberUniqueName="[Sales].[sales_time].[All]" allUniqueName="[Sales].[sales_time].[All]" dimensionUniqueName="[Sales]" displayFolder="" count="0" memberValueDatatype="20" unbalanced="0"/>
    <cacheHierarchy uniqueName="[Sales].[sales_time 2]" caption="sales_time 2" attribute="1" defaultMemberUniqueName="[Sales].[sales_time 2].[All]" allUniqueName="[Sales].[sales_time 2].[All]" dimensionUniqueName="[Sales]" displayFolder="" count="0" memberValueDatatype="130" unbalanced="0"/>
    <cacheHierarchy uniqueName="[Sales].[Hour]" caption="Hour" attribute="1" defaultMemberUniqueName="[Sales].[Hour].[All]" allUniqueName="[Sales].[Hour].[All]" dimensionUniqueName="[Sales]" displayFolder="" count="0" memberValueDatatype="20" unbalanced="0"/>
    <cacheHierarchy uniqueName="[Sales_item].[sales_item]" caption="sales_item" attribute="1" defaultMemberUniqueName="[Sales_item].[sales_item].[All]" allUniqueName="[Sales_item].[sales_item].[All]" dimensionUniqueName="[Sales_item]" displayFolder="" count="0" memberValueDatatype="20" unbalanced="0"/>
    <cacheHierarchy uniqueName="[Sales_item].[sales_id]" caption="sales_id" attribute="1" defaultMemberUniqueName="[Sales_item].[sales_id].[All]" allUniqueName="[Sales_item].[sales_id].[All]" dimensionUniqueName="[Sales_item]" displayFolder="" count="0" memberValueDatatype="20" unbalanced="0"/>
    <cacheHierarchy uniqueName="[Sales_item].[product_id]" caption="product_id" attribute="1" defaultMemberUniqueName="[Sales_item].[product_id].[All]" allUniqueName="[Sales_item].[product_id].[All]" dimensionUniqueName="[Sales_item]" displayFolder="" count="0" memberValueDatatype="20" unbalanced="0"/>
    <cacheHierarchy uniqueName="[Sales_item].[sales_quantity]" caption="sales_quantity" attribute="1" defaultMemberUniqueName="[Sales_item].[sales_quantity].[All]" allUniqueName="[Sales_item].[sales_quantity].[All]" dimensionUniqueName="[Sales_item]" displayFolder="" count="0" memberValueDatatype="20" unbalanced="0"/>
    <cacheHierarchy uniqueName="[Sales_item].[subtotal]" caption="subtotal" attribute="1" defaultMemberUniqueName="[Sales_item].[subtotal].[All]" allUniqueName="[Sales_item].[subtotal].[All]" dimensionUniqueName="[Sales_item]" displayFolder="" count="0" memberValueDatatype="5" unbalanced="0"/>
    <cacheHierarchy uniqueName="[Sales].[sales_date (月份索引)]" caption="sales_date (月份索引)" attribute="1" defaultMemberUniqueName="[Sales].[sales_date (月份索引)].[All]" allUniqueName="[Sales].[sales_date (月份索引)].[All]" dimensionUniqueName="[Sales]" displayFolder="" count="0" memberValueDatatype="20" unbalanced="0" hidden="1"/>
    <cacheHierarchy uniqueName="[Measures].[__XL_Count Sales]" caption="__XL_Count Sales" measure="1" displayFolder="" measureGroup="Sales" count="0" hidden="1"/>
    <cacheHierarchy uniqueName="[Measures].[__XL_Count Customers]" caption="__XL_Count Customers" measure="1" displayFolder="" measureGroup="Customers" count="0" hidden="1"/>
    <cacheHierarchy uniqueName="[Measures].[__XL_Count Category]" caption="__XL_Count Category" measure="1" displayFolder="" measureGroup="Category" count="0" hidden="1"/>
    <cacheHierarchy uniqueName="[Measures].[__XL_Count Products]" caption="__XL_Count Products" measure="1" displayFolder="" measureGroup="Products" count="0" hidden="1"/>
    <cacheHierarchy uniqueName="[Measures].[__XL_Count Sales_item]" caption="__XL_Count Sales_item" measure="1" displayFolder="" measureGroup="Sales_item" count="0" hidden="1"/>
    <cacheHierarchy uniqueName="[Measures].[__沒有定義量值]" caption="__沒有定義量值" measure="1" displayFolder="" count="0" hidden="1"/>
    <cacheHierarchy uniqueName="[Measures].[以下資料的總和: sales_quantity]" caption="以下資料的總和: sales_quantity" measure="1" displayFolder="" measureGroup="Sales_item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以下資料的總和: subtotal]" caption="以下資料的總和: subtotal" measure="1" displayFolder="" measureGroup="Sales_item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以下資料的總和: sales_time]" caption="以下資料的總和: sales_time" measure="1" displayFolder="" measureGroup="Sale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以下資料的項目個數: sales_time]" caption="以下資料的項目個數: sales_time" measure="1" displayFolder="" measureGroup="Sale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以下資料的總和: sales_id]" caption="以下資料的總和: sales_id" measure="1" displayFolder="" measureGroup="Sale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以下資料的項目個數: sales_id]" caption="以下資料的項目個數: sales_id" measure="1" displayFolder="" measureGroup="Sale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以下資料的總和: Hour]" caption="以下資料的總和: Hour" measure="1" displayFolder="" measureGroup="Sale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以下資料的總和: sales_id 2]" caption="以下資料的總和: sales_id 2" measure="1" displayFolder="" measureGroup="Sales_item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以下資料的項目個數: sales_id 2]" caption="以下資料的項目個數: sales_id 2" measure="1" displayFolder="" measureGroup="Sales_item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以下資料的平均值: subtotal]" caption="以下資料的平均值: subtotal" measure="1" displayFolder="" measureGroup="Sales_item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7"/>
        </ext>
      </extLst>
    </cacheHierarchy>
  </cacheHierarchies>
  <kpis count="0"/>
  <dimensions count="6">
    <dimension name="Category" uniqueName="[Category]" caption="Category"/>
    <dimension name="Customers" uniqueName="[Customers]" caption="Customers"/>
    <dimension measure="1" name="Measures" uniqueName="[Measures]" caption="Measures"/>
    <dimension name="Products" uniqueName="[Products]" caption="Products"/>
    <dimension name="Sales" uniqueName="[Sales]" caption="Sales"/>
    <dimension name="Sales_item" uniqueName="[Sales_item]" caption="Sales_item"/>
  </dimensions>
  <measureGroups count="5">
    <measureGroup name="Category" caption="Category"/>
    <measureGroup name="Customers" caption="Customers"/>
    <measureGroup name="Products" caption="Products"/>
    <measureGroup name="Sales" caption="Sales"/>
    <measureGroup name="Sales_item" caption="Sales_item"/>
  </measureGroups>
  <maps count="11">
    <map measureGroup="0" dimension="0"/>
    <map measureGroup="1" dimension="1"/>
    <map measureGroup="2" dimension="0"/>
    <map measureGroup="2" dimension="3"/>
    <map measureGroup="3" dimension="1"/>
    <map measureGroup="3" dimension="4"/>
    <map measureGroup="4" dimension="0"/>
    <map measureGroup="4" dimension="1"/>
    <map measureGroup="4" dimension="3"/>
    <map measureGroup="4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haron" refreshedDate="46155.719551851849" backgroundQuery="1" createdVersion="8" refreshedVersion="8" minRefreshableVersion="3" recordCount="0" supportSubquery="1" supportAdvancedDrill="1" xr:uid="{24713CF1-8E4C-40AE-969A-03F02C5566BE}">
  <cacheSource type="external" connectionId="1"/>
  <cacheFields count="4">
    <cacheField name="[Sales].[sales_date (月)].[sales_date (月)]" caption="sales_date (月)" numFmtId="0" hierarchy="19" level="1">
      <sharedItems count="12">
        <s v="Jan"/>
        <s v="Feb"/>
        <s v="Mar"/>
        <s v="Apr"/>
        <s v="May"/>
        <s v="Jun"/>
        <s v="Jul"/>
        <s v="Aug"/>
        <s v="Sep"/>
        <s v="Oct"/>
        <s v="Dec"/>
        <s v="Nov"/>
      </sharedItems>
    </cacheField>
    <cacheField name="[Measures].[以下資料的總和: sales_quantity]" caption="以下資料的總和: sales_quantity" numFmtId="0" hierarchy="35" level="32767"/>
    <cacheField name="[Measures].[以下資料的總和: subtotal]" caption="以下資料的總和: subtotal" numFmtId="0" hierarchy="36" level="32767"/>
    <cacheField name="[Sales].[sales_date (年)].[sales_date (年)]" caption="sales_date (年)" numFmtId="0" hierarchy="17" level="1">
      <sharedItems count="3">
        <s v="2024"/>
        <s v="2025"/>
        <s v="2026"/>
      </sharedItems>
    </cacheField>
  </cacheFields>
  <cacheHierarchies count="45">
    <cacheHierarchy uniqueName="[Category].[category_id]" caption="category_id" attribute="1" defaultMemberUniqueName="[Category].[category_id].[All]" allUniqueName="[Category].[category_id].[All]" dimensionUniqueName="[Category]" displayFolder="" count="0" memberValueDatatype="20" unbalanced="0"/>
    <cacheHierarchy uniqueName="[Category].[category_name]" caption="category_name" attribute="1" defaultMemberUniqueName="[Category].[category_name].[All]" allUniqueName="[Category].[category_name].[All]" dimensionUniqueName="[Category]" displayFolder="" count="2" memberValueDatatype="130" unbalanced="0"/>
    <cacheHierarchy uniqueName="[Category].[category_description]" caption="category_description" attribute="1" defaultMemberUniqueName="[Category].[category_description].[All]" allUniqueName="[Category].[category_description].[All]" dimensionUniqueName="[Category]" displayFolder="" count="0" memberValueDatatype="130" unbalanced="0"/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20" unbalanced="0"/>
    <cacheHierarchy uniqueName="[Customers].[customer_name]" caption="customer_name" attribute="1" defaultMemberUniqueName="[Customers].[customer_name].[All]" allUniqueName="[Customers].[customer_name].[All]" dimensionUniqueName="[Customers]" displayFolder="" count="0" memberValueDatatype="130" unbalanced="0"/>
    <cacheHierarchy uniqueName="[Customers].[customer_email]" caption="customer_email" attribute="1" defaultMemberUniqueName="[Customers].[customer_email].[All]" allUniqueName="[Customers].[customer_email].[All]" dimensionUniqueName="[Customers]" displayFolder="" count="0" memberValueDatatype="130" unbalanced="0"/>
    <cacheHierarchy uniqueName="[Customers].[customer_join_date]" caption="customer_join_date" attribute="1" time="1" defaultMemberUniqueName="[Customers].[customer_join_date].[All]" allUniqueName="[Customers].[customer_join_date].[All]" dimensionUniqueName="[Customers]" displayFolder="" count="0" memberValueDatatype="7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2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product_price]" caption="product_price" attribute="1" defaultMemberUniqueName="[Products].[product_price].[All]" allUniqueName="[Products].[product_price].[All]" dimensionUniqueName="[Products]" displayFolder="" count="0" memberValueDatatype="5" unbalanced="0"/>
    <cacheHierarchy uniqueName="[Products].[product_stock]" caption="product_stock" attribute="1" defaultMemberUniqueName="[Products].[product_stock].[All]" allUniqueName="[Products].[product_stock].[All]" dimensionUniqueName="[Products]" displayFolder="" count="0" memberValueDatatype="20" unbalanced="0"/>
    <cacheHierarchy uniqueName="[Products].[product_sku]" caption="product_sku" attribute="1" defaultMemberUniqueName="[Products].[product_sku].[All]" allUniqueName="[Products].[product_sku].[All]" dimensionUniqueName="[Products]" displayFolder="" count="0" memberValueDatatype="5" unbalanced="0"/>
    <cacheHierarchy uniqueName="[Products].[category_id]" caption="category_id" attribute="1" defaultMemberUniqueName="[Products].[category_id].[All]" allUniqueName="[Products].[category_id].[All]" dimensionUniqueName="[Products]" displayFolder="" count="0" memberValueDatatype="20" unbalanced="0"/>
    <cacheHierarchy uniqueName="[Sales].[sales_id]" caption="sales_id" attribute="1" defaultMemberUniqueName="[Sales].[sales_id].[All]" allUniqueName="[Sales].[sales_id].[All]" dimensionUniqueName="[Sales]" displayFolder="" count="0" memberValueDatatype="20" unbalanced="0"/>
    <cacheHierarchy uniqueName="[Sales].[sales_date]" caption="sales_date" attribute="1" time="1" defaultMemberUniqueName="[Sales].[sales_date].[All]" allUniqueName="[Sales].[sales_date].[All]" dimensionUniqueName="[Sales]" displayFolder="" count="2" memberValueDatatype="7" unbalanced="0"/>
    <cacheHierarchy uniqueName="[Sales].[customer_id]" caption="customer_id" attribute="1" defaultMemberUniqueName="[Sales].[customer_id].[All]" allUniqueName="[Sales].[customer_id].[All]" dimensionUniqueName="[Sales]" displayFolder="" count="0" memberValueDatatype="20" unbalanced="0"/>
    <cacheHierarchy uniqueName="[Sales].[sales_status]" caption="sales_status" attribute="1" defaultMemberUniqueName="[Sales].[sales_status].[All]" allUniqueName="[Sales].[sales_status].[All]" dimensionUniqueName="[Sales]" displayFolder="" count="0" memberValueDatatype="130" unbalanced="0"/>
    <cacheHierarchy uniqueName="[Sales].[sales_date (年)]" caption="sales_date (年)" attribute="1" defaultMemberUniqueName="[Sales].[sales_date (年)].[All]" allUniqueName="[Sales].[sales_date (年)].[All]" dimensionUniqueName="[Sales]" displayFolder="" count="2" memberValueDatatype="130" unbalanced="0">
      <fieldsUsage count="2">
        <fieldUsage x="-1"/>
        <fieldUsage x="3"/>
      </fieldsUsage>
    </cacheHierarchy>
    <cacheHierarchy uniqueName="[Sales].[sales_date (季)]" caption="sales_date (季)" attribute="1" defaultMemberUniqueName="[Sales].[sales_date (季)].[All]" allUniqueName="[Sales].[sales_date (季)].[All]" dimensionUniqueName="[Sales]" displayFolder="" count="0" memberValueDatatype="130" unbalanced="0"/>
    <cacheHierarchy uniqueName="[Sales].[sales_date (月)]" caption="sales_date (月)" attribute="1" defaultMemberUniqueName="[Sales].[sales_date (月)].[All]" allUniqueName="[Sales].[sales_date (月)].[All]" dimensionUniqueName="[Sales]" displayFolder="" count="2" memberValueDatatype="130" unbalanced="0">
      <fieldsUsage count="2">
        <fieldUsage x="-1"/>
        <fieldUsage x="0"/>
      </fieldsUsage>
    </cacheHierarchy>
    <cacheHierarchy uniqueName="[Sales].[sales_time]" caption="sales_time" attribute="1" defaultMemberUniqueName="[Sales].[sales_time].[All]" allUniqueName="[Sales].[sales_time].[All]" dimensionUniqueName="[Sales]" displayFolder="" count="0" memberValueDatatype="20" unbalanced="0"/>
    <cacheHierarchy uniqueName="[Sales].[sales_time 2]" caption="sales_time 2" attribute="1" defaultMemberUniqueName="[Sales].[sales_time 2].[All]" allUniqueName="[Sales].[sales_time 2].[All]" dimensionUniqueName="[Sales]" displayFolder="" count="0" memberValueDatatype="130" unbalanced="0"/>
    <cacheHierarchy uniqueName="[Sales].[Hour]" caption="Hour" attribute="1" defaultMemberUniqueName="[Sales].[Hour].[All]" allUniqueName="[Sales].[Hour].[All]" dimensionUniqueName="[Sales]" displayFolder="" count="0" memberValueDatatype="20" unbalanced="0"/>
    <cacheHierarchy uniqueName="[Sales_item].[sales_item]" caption="sales_item" attribute="1" defaultMemberUniqueName="[Sales_item].[sales_item].[All]" allUniqueName="[Sales_item].[sales_item].[All]" dimensionUniqueName="[Sales_item]" displayFolder="" count="0" memberValueDatatype="20" unbalanced="0"/>
    <cacheHierarchy uniqueName="[Sales_item].[sales_id]" caption="sales_id" attribute="1" defaultMemberUniqueName="[Sales_item].[sales_id].[All]" allUniqueName="[Sales_item].[sales_id].[All]" dimensionUniqueName="[Sales_item]" displayFolder="" count="0" memberValueDatatype="20" unbalanced="0"/>
    <cacheHierarchy uniqueName="[Sales_item].[product_id]" caption="product_id" attribute="1" defaultMemberUniqueName="[Sales_item].[product_id].[All]" allUniqueName="[Sales_item].[product_id].[All]" dimensionUniqueName="[Sales_item]" displayFolder="" count="0" memberValueDatatype="20" unbalanced="0"/>
    <cacheHierarchy uniqueName="[Sales_item].[sales_quantity]" caption="sales_quantity" attribute="1" defaultMemberUniqueName="[Sales_item].[sales_quantity].[All]" allUniqueName="[Sales_item].[sales_quantity].[All]" dimensionUniqueName="[Sales_item]" displayFolder="" count="0" memberValueDatatype="20" unbalanced="0"/>
    <cacheHierarchy uniqueName="[Sales_item].[subtotal]" caption="subtotal" attribute="1" defaultMemberUniqueName="[Sales_item].[subtotal].[All]" allUniqueName="[Sales_item].[subtotal].[All]" dimensionUniqueName="[Sales_item]" displayFolder="" count="0" memberValueDatatype="5" unbalanced="0"/>
    <cacheHierarchy uniqueName="[Sales].[sales_date (月份索引)]" caption="sales_date (月份索引)" attribute="1" defaultMemberUniqueName="[Sales].[sales_date (月份索引)].[All]" allUniqueName="[Sales].[sales_date (月份索引)].[All]" dimensionUniqueName="[Sales]" displayFolder="" count="0" memberValueDatatype="20" unbalanced="0" hidden="1"/>
    <cacheHierarchy uniqueName="[Measures].[__XL_Count Sales]" caption="__XL_Count Sales" measure="1" displayFolder="" measureGroup="Sales" count="0" hidden="1"/>
    <cacheHierarchy uniqueName="[Measures].[__XL_Count Customers]" caption="__XL_Count Customers" measure="1" displayFolder="" measureGroup="Customers" count="0" hidden="1"/>
    <cacheHierarchy uniqueName="[Measures].[__XL_Count Category]" caption="__XL_Count Category" measure="1" displayFolder="" measureGroup="Category" count="0" hidden="1"/>
    <cacheHierarchy uniqueName="[Measures].[__XL_Count Products]" caption="__XL_Count Products" measure="1" displayFolder="" measureGroup="Products" count="0" hidden="1"/>
    <cacheHierarchy uniqueName="[Measures].[__XL_Count Sales_item]" caption="__XL_Count Sales_item" measure="1" displayFolder="" measureGroup="Sales_item" count="0" hidden="1"/>
    <cacheHierarchy uniqueName="[Measures].[__沒有定義量值]" caption="__沒有定義量值" measure="1" displayFolder="" count="0" hidden="1"/>
    <cacheHierarchy uniqueName="[Measures].[以下資料的總和: sales_quantity]" caption="以下資料的總和: sales_quantity" measure="1" displayFolder="" measureGroup="Sales_item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以下資料的總和: subtotal]" caption="以下資料的總和: subtotal" measure="1" displayFolder="" measureGroup="Sales_item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以下資料的總和: sales_time]" caption="以下資料的總和: sales_time" measure="1" displayFolder="" measureGroup="Sale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以下資料的項目個數: sales_time]" caption="以下資料的項目個數: sales_time" measure="1" displayFolder="" measureGroup="Sale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以下資料的總和: sales_id]" caption="以下資料的總和: sales_id" measure="1" displayFolder="" measureGroup="Sale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以下資料的項目個數: sales_id]" caption="以下資料的項目個數: sales_id" measure="1" displayFolder="" measureGroup="Sale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以下資料的總和: Hour]" caption="以下資料的總和: Hour" measure="1" displayFolder="" measureGroup="Sale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以下資料的總和: sales_id 2]" caption="以下資料的總和: sales_id 2" measure="1" displayFolder="" measureGroup="Sales_item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以下資料的項目個數: sales_id 2]" caption="以下資料的項目個數: sales_id 2" measure="1" displayFolder="" measureGroup="Sales_item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以下資料的平均值: subtotal]" caption="以下資料的平均值: subtotal" measure="1" displayFolder="" measureGroup="Sales_item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</cacheHierarchies>
  <kpis count="0"/>
  <dimensions count="6">
    <dimension name="Category" uniqueName="[Category]" caption="Category"/>
    <dimension name="Customers" uniqueName="[Customers]" caption="Customers"/>
    <dimension measure="1" name="Measures" uniqueName="[Measures]" caption="Measures"/>
    <dimension name="Products" uniqueName="[Products]" caption="Products"/>
    <dimension name="Sales" uniqueName="[Sales]" caption="Sales"/>
    <dimension name="Sales_item" uniqueName="[Sales_item]" caption="Sales_item"/>
  </dimensions>
  <measureGroups count="5">
    <measureGroup name="Category" caption="Category"/>
    <measureGroup name="Customers" caption="Customers"/>
    <measureGroup name="Products" caption="Products"/>
    <measureGroup name="Sales" caption="Sales"/>
    <measureGroup name="Sales_item" caption="Sales_item"/>
  </measureGroups>
  <maps count="11">
    <map measureGroup="0" dimension="0"/>
    <map measureGroup="1" dimension="1"/>
    <map measureGroup="2" dimension="0"/>
    <map measureGroup="2" dimension="3"/>
    <map measureGroup="3" dimension="1"/>
    <map measureGroup="3" dimension="4"/>
    <map measureGroup="4" dimension="0"/>
    <map measureGroup="4" dimension="1"/>
    <map measureGroup="4" dimension="3"/>
    <map measureGroup="4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haron" refreshedDate="46152.036512847226" backgroundQuery="1" createdVersion="3" refreshedVersion="8" minRefreshableVersion="3" recordCount="0" supportSubquery="1" supportAdvancedDrill="1" xr:uid="{30D1E590-2444-4AD4-8189-5D4CBBF64487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45">
    <cacheHierarchy uniqueName="[Category].[category_id]" caption="category_id" attribute="1" defaultMemberUniqueName="[Category].[category_id].[All]" allUniqueName="[Category].[category_id].[All]" dimensionUniqueName="[Category]" displayFolder="" count="0" memberValueDatatype="20" unbalanced="0"/>
    <cacheHierarchy uniqueName="[Category].[category_name]" caption="category_name" attribute="1" defaultMemberUniqueName="[Category].[category_name].[All]" allUniqueName="[Category].[category_name].[All]" dimensionUniqueName="[Category]" displayFolder="" count="2" memberValueDatatype="130" unbalanced="0"/>
    <cacheHierarchy uniqueName="[Category].[category_description]" caption="category_description" attribute="1" defaultMemberUniqueName="[Category].[category_description].[All]" allUniqueName="[Category].[category_description].[All]" dimensionUniqueName="[Category]" displayFolder="" count="0" memberValueDatatype="130" unbalanced="0"/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20" unbalanced="0"/>
    <cacheHierarchy uniqueName="[Customers].[customer_name]" caption="customer_name" attribute="1" defaultMemberUniqueName="[Customers].[customer_name].[All]" allUniqueName="[Customers].[customer_name].[All]" dimensionUniqueName="[Customers]" displayFolder="" count="0" memberValueDatatype="130" unbalanced="0"/>
    <cacheHierarchy uniqueName="[Customers].[customer_email]" caption="customer_email" attribute="1" defaultMemberUniqueName="[Customers].[customer_email].[All]" allUniqueName="[Customers].[customer_email].[All]" dimensionUniqueName="[Customers]" displayFolder="" count="0" memberValueDatatype="130" unbalanced="0"/>
    <cacheHierarchy uniqueName="[Customers].[customer_join_date]" caption="customer_join_date" attribute="1" time="1" defaultMemberUniqueName="[Customers].[customer_join_date].[All]" allUniqueName="[Customers].[customer_join_date].[All]" dimensionUniqueName="[Customers]" displayFolder="" count="0" memberValueDatatype="7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2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product_price]" caption="product_price" attribute="1" defaultMemberUniqueName="[Products].[product_price].[All]" allUniqueName="[Products].[product_price].[All]" dimensionUniqueName="[Products]" displayFolder="" count="0" memberValueDatatype="5" unbalanced="0"/>
    <cacheHierarchy uniqueName="[Products].[product_stock]" caption="product_stock" attribute="1" defaultMemberUniqueName="[Products].[product_stock].[All]" allUniqueName="[Products].[product_stock].[All]" dimensionUniqueName="[Products]" displayFolder="" count="0" memberValueDatatype="20" unbalanced="0"/>
    <cacheHierarchy uniqueName="[Products].[product_sku]" caption="product_sku" attribute="1" defaultMemberUniqueName="[Products].[product_sku].[All]" allUniqueName="[Products].[product_sku].[All]" dimensionUniqueName="[Products]" displayFolder="" count="0" memberValueDatatype="5" unbalanced="0"/>
    <cacheHierarchy uniqueName="[Products].[category_id]" caption="category_id" attribute="1" defaultMemberUniqueName="[Products].[category_id].[All]" allUniqueName="[Products].[category_id].[All]" dimensionUniqueName="[Products]" displayFolder="" count="0" memberValueDatatype="20" unbalanced="0"/>
    <cacheHierarchy uniqueName="[Sales].[sales_id]" caption="sales_id" attribute="1" defaultMemberUniqueName="[Sales].[sales_id].[All]" allUniqueName="[Sales].[sales_id].[All]" dimensionUniqueName="[Sales]" displayFolder="" count="0" memberValueDatatype="20" unbalanced="0"/>
    <cacheHierarchy uniqueName="[Sales].[sales_date]" caption="sales_date" attribute="1" time="1" defaultMemberUniqueName="[Sales].[sales_date].[All]" allUniqueName="[Sales].[sales_date].[All]" dimensionUniqueName="[Sales]" displayFolder="" count="0" memberValueDatatype="7" unbalanced="0"/>
    <cacheHierarchy uniqueName="[Sales].[customer_id]" caption="customer_id" attribute="1" defaultMemberUniqueName="[Sales].[customer_id].[All]" allUniqueName="[Sales].[customer_id].[All]" dimensionUniqueName="[Sales]" displayFolder="" count="0" memberValueDatatype="20" unbalanced="0"/>
    <cacheHierarchy uniqueName="[Sales].[sales_status]" caption="sales_status" attribute="1" defaultMemberUniqueName="[Sales].[sales_status].[All]" allUniqueName="[Sales].[sales_status].[All]" dimensionUniqueName="[Sales]" displayFolder="" count="0" memberValueDatatype="130" unbalanced="0"/>
    <cacheHierarchy uniqueName="[Sales].[sales_date (年)]" caption="sales_date (年)" attribute="1" defaultMemberUniqueName="[Sales].[sales_date (年)].[All]" allUniqueName="[Sales].[sales_date (年)].[All]" dimensionUniqueName="[Sales]" displayFolder="" count="0" memberValueDatatype="130" unbalanced="0"/>
    <cacheHierarchy uniqueName="[Sales].[sales_date (季)]" caption="sales_date (季)" attribute="1" defaultMemberUniqueName="[Sales].[sales_date (季)].[All]" allUniqueName="[Sales].[sales_date (季)].[All]" dimensionUniqueName="[Sales]" displayFolder="" count="0" memberValueDatatype="130" unbalanced="0"/>
    <cacheHierarchy uniqueName="[Sales].[sales_date (月)]" caption="sales_date (月)" attribute="1" defaultMemberUniqueName="[Sales].[sales_date (月)].[All]" allUniqueName="[Sales].[sales_date (月)].[All]" dimensionUniqueName="[Sales]" displayFolder="" count="0" memberValueDatatype="130" unbalanced="0"/>
    <cacheHierarchy uniqueName="[Sales].[sales_time]" caption="sales_time" attribute="1" defaultMemberUniqueName="[Sales].[sales_time].[All]" allUniqueName="[Sales].[sales_time].[All]" dimensionUniqueName="[Sales]" displayFolder="" count="0" memberValueDatatype="20" unbalanced="0"/>
    <cacheHierarchy uniqueName="[Sales].[sales_time 2]" caption="sales_time 2" attribute="1" defaultMemberUniqueName="[Sales].[sales_time 2].[All]" allUniqueName="[Sales].[sales_time 2].[All]" dimensionUniqueName="[Sales]" displayFolder="" count="0" memberValueDatatype="130" unbalanced="0"/>
    <cacheHierarchy uniqueName="[Sales].[Hour]" caption="Hour" attribute="1" defaultMemberUniqueName="[Sales].[Hour].[All]" allUniqueName="[Sales].[Hour].[All]" dimensionUniqueName="[Sales]" displayFolder="" count="0" memberValueDatatype="20" unbalanced="0"/>
    <cacheHierarchy uniqueName="[Sales_item].[sales_item]" caption="sales_item" attribute="1" defaultMemberUniqueName="[Sales_item].[sales_item].[All]" allUniqueName="[Sales_item].[sales_item].[All]" dimensionUniqueName="[Sales_item]" displayFolder="" count="0" memberValueDatatype="20" unbalanced="0"/>
    <cacheHierarchy uniqueName="[Sales_item].[sales_id]" caption="sales_id" attribute="1" defaultMemberUniqueName="[Sales_item].[sales_id].[All]" allUniqueName="[Sales_item].[sales_id].[All]" dimensionUniqueName="[Sales_item]" displayFolder="" count="0" memberValueDatatype="20" unbalanced="0"/>
    <cacheHierarchy uniqueName="[Sales_item].[product_id]" caption="product_id" attribute="1" defaultMemberUniqueName="[Sales_item].[product_id].[All]" allUniqueName="[Sales_item].[product_id].[All]" dimensionUniqueName="[Sales_item]" displayFolder="" count="0" memberValueDatatype="20" unbalanced="0"/>
    <cacheHierarchy uniqueName="[Sales_item].[sales_quantity]" caption="sales_quantity" attribute="1" defaultMemberUniqueName="[Sales_item].[sales_quantity].[All]" allUniqueName="[Sales_item].[sales_quantity].[All]" dimensionUniqueName="[Sales_item]" displayFolder="" count="0" memberValueDatatype="20" unbalanced="0"/>
    <cacheHierarchy uniqueName="[Sales_item].[subtotal]" caption="subtotal" attribute="1" defaultMemberUniqueName="[Sales_item].[subtotal].[All]" allUniqueName="[Sales_item].[subtotal].[All]" dimensionUniqueName="[Sales_item]" displayFolder="" count="0" memberValueDatatype="5" unbalanced="0"/>
    <cacheHierarchy uniqueName="[Sales].[sales_date (月份索引)]" caption="sales_date (月份索引)" attribute="1" defaultMemberUniqueName="[Sales].[sales_date (月份索引)].[All]" allUniqueName="[Sales].[sales_date (月份索引)].[All]" dimensionUniqueName="[Sales]" displayFolder="" count="0" memberValueDatatype="20" unbalanced="0" hidden="1"/>
    <cacheHierarchy uniqueName="[Measures].[__XL_Count Sales]" caption="__XL_Count Sales" measure="1" displayFolder="" measureGroup="Sales" count="0" hidden="1"/>
    <cacheHierarchy uniqueName="[Measures].[__XL_Count Customers]" caption="__XL_Count Customers" measure="1" displayFolder="" measureGroup="Customers" count="0" hidden="1"/>
    <cacheHierarchy uniqueName="[Measures].[__XL_Count Category]" caption="__XL_Count Category" measure="1" displayFolder="" measureGroup="Category" count="0" hidden="1"/>
    <cacheHierarchy uniqueName="[Measures].[__XL_Count Products]" caption="__XL_Count Products" measure="1" displayFolder="" measureGroup="Products" count="0" hidden="1"/>
    <cacheHierarchy uniqueName="[Measures].[__XL_Count Sales_item]" caption="__XL_Count Sales_item" measure="1" displayFolder="" measureGroup="Sales_item" count="0" hidden="1"/>
    <cacheHierarchy uniqueName="[Measures].[__沒有定義量值]" caption="__沒有定義量值" measure="1" displayFolder="" count="0" hidden="1"/>
    <cacheHierarchy uniqueName="[Measures].[以下資料的總和: sales_quantity]" caption="以下資料的總和: sales_quantity" measure="1" displayFolder="" measureGroup="Sales_item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以下資料的總和: subtotal]" caption="以下資料的總和: subtotal" measure="1" displayFolder="" measureGroup="Sales_item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以下資料的總和: sales_time]" caption="以下資料的總和: sales_time" measure="1" displayFolder="" measureGroup="Sale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以下資料的項目個數: sales_time]" caption="以下資料的項目個數: sales_time" measure="1" displayFolder="" measureGroup="Sale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以下資料的總和: sales_id]" caption="以下資料的總和: sales_id" measure="1" displayFolder="" measureGroup="Sale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以下資料的項目個數: sales_id]" caption="以下資料的項目個數: sales_id" measure="1" displayFolder="" measureGroup="Sale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以下資料的總和: Hour]" caption="以下資料的總和: Hour" measure="1" displayFolder="" measureGroup="Sale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以下資料的總和: sales_id 2]" caption="以下資料的總和: sales_id 2" measure="1" displayFolder="" measureGroup="Sales_item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以下資料的項目個數: sales_id 2]" caption="以下資料的項目個數: sales_id 2" measure="1" displayFolder="" measureGroup="Sales_item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以下資料的平均值: subtotal]" caption="以下資料的平均值: subtotal" measure="1" displayFolder="" measureGroup="Sales_item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460726877"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haron" refreshedDate="46152.036515277781" backgroundQuery="1" createdVersion="3" refreshedVersion="8" minRefreshableVersion="3" recordCount="0" supportSubquery="1" supportAdvancedDrill="1" xr:uid="{2CD1188A-559F-4C57-97A0-3F7505505775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45">
    <cacheHierarchy uniqueName="[Category].[category_id]" caption="category_id" attribute="1" defaultMemberUniqueName="[Category].[category_id].[All]" allUniqueName="[Category].[category_id].[All]" dimensionUniqueName="[Category]" displayFolder="" count="0" memberValueDatatype="20" unbalanced="0"/>
    <cacheHierarchy uniqueName="[Category].[category_name]" caption="category_name" attribute="1" defaultMemberUniqueName="[Category].[category_name].[All]" allUniqueName="[Category].[category_name].[All]" dimensionUniqueName="[Category]" displayFolder="" count="0" memberValueDatatype="130" unbalanced="0"/>
    <cacheHierarchy uniqueName="[Category].[category_description]" caption="category_description" attribute="1" defaultMemberUniqueName="[Category].[category_description].[All]" allUniqueName="[Category].[category_description].[All]" dimensionUniqueName="[Category]" displayFolder="" count="0" memberValueDatatype="130" unbalanced="0"/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20" unbalanced="0"/>
    <cacheHierarchy uniqueName="[Customers].[customer_name]" caption="customer_name" attribute="1" defaultMemberUniqueName="[Customers].[customer_name].[All]" allUniqueName="[Customers].[customer_name].[All]" dimensionUniqueName="[Customers]" displayFolder="" count="0" memberValueDatatype="130" unbalanced="0"/>
    <cacheHierarchy uniqueName="[Customers].[customer_email]" caption="customer_email" attribute="1" defaultMemberUniqueName="[Customers].[customer_email].[All]" allUniqueName="[Customers].[customer_email].[All]" dimensionUniqueName="[Customers]" displayFolder="" count="0" memberValueDatatype="130" unbalanced="0"/>
    <cacheHierarchy uniqueName="[Customers].[customer_join_date]" caption="customer_join_date" attribute="1" time="1" defaultMemberUniqueName="[Customers].[customer_join_date].[All]" allUniqueName="[Customers].[customer_join_date].[All]" dimensionUniqueName="[Customers]" displayFolder="" count="0" memberValueDatatype="7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2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product_price]" caption="product_price" attribute="1" defaultMemberUniqueName="[Products].[product_price].[All]" allUniqueName="[Products].[product_price].[All]" dimensionUniqueName="[Products]" displayFolder="" count="0" memberValueDatatype="5" unbalanced="0"/>
    <cacheHierarchy uniqueName="[Products].[product_stock]" caption="product_stock" attribute="1" defaultMemberUniqueName="[Products].[product_stock].[All]" allUniqueName="[Products].[product_stock].[All]" dimensionUniqueName="[Products]" displayFolder="" count="0" memberValueDatatype="20" unbalanced="0"/>
    <cacheHierarchy uniqueName="[Products].[product_sku]" caption="product_sku" attribute="1" defaultMemberUniqueName="[Products].[product_sku].[All]" allUniqueName="[Products].[product_sku].[All]" dimensionUniqueName="[Products]" displayFolder="" count="0" memberValueDatatype="5" unbalanced="0"/>
    <cacheHierarchy uniqueName="[Products].[category_id]" caption="category_id" attribute="1" defaultMemberUniqueName="[Products].[category_id].[All]" allUniqueName="[Products].[category_id].[All]" dimensionUniqueName="[Products]" displayFolder="" count="0" memberValueDatatype="20" unbalanced="0"/>
    <cacheHierarchy uniqueName="[Sales].[sales_id]" caption="sales_id" attribute="1" defaultMemberUniqueName="[Sales].[sales_id].[All]" allUniqueName="[Sales].[sales_id].[All]" dimensionUniqueName="[Sales]" displayFolder="" count="0" memberValueDatatype="20" unbalanced="0"/>
    <cacheHierarchy uniqueName="[Sales].[sales_date]" caption="sales_date" attribute="1" time="1" defaultMemberUniqueName="[Sales].[sales_date].[All]" allUniqueName="[Sales].[sales_date].[All]" dimensionUniqueName="[Sales]" displayFolder="" count="0" memberValueDatatype="7" unbalanced="0"/>
    <cacheHierarchy uniqueName="[Sales].[customer_id]" caption="customer_id" attribute="1" defaultMemberUniqueName="[Sales].[customer_id].[All]" allUniqueName="[Sales].[customer_id].[All]" dimensionUniqueName="[Sales]" displayFolder="" count="0" memberValueDatatype="20" unbalanced="0"/>
    <cacheHierarchy uniqueName="[Sales].[sales_status]" caption="sales_status" attribute="1" defaultMemberUniqueName="[Sales].[sales_status].[All]" allUniqueName="[Sales].[sales_status].[All]" dimensionUniqueName="[Sales]" displayFolder="" count="0" memberValueDatatype="130" unbalanced="0"/>
    <cacheHierarchy uniqueName="[Sales].[sales_date (年)]" caption="sales_date (年)" attribute="1" defaultMemberUniqueName="[Sales].[sales_date (年)].[All]" allUniqueName="[Sales].[sales_date (年)].[All]" dimensionUniqueName="[Sales]" displayFolder="" count="0" memberValueDatatype="130" unbalanced="0"/>
    <cacheHierarchy uniqueName="[Sales].[sales_date (季)]" caption="sales_date (季)" attribute="1" defaultMemberUniqueName="[Sales].[sales_date (季)].[All]" allUniqueName="[Sales].[sales_date (季)].[All]" dimensionUniqueName="[Sales]" displayFolder="" count="0" memberValueDatatype="130" unbalanced="0"/>
    <cacheHierarchy uniqueName="[Sales].[sales_date (月)]" caption="sales_date (月)" attribute="1" defaultMemberUniqueName="[Sales].[sales_date (月)].[All]" allUniqueName="[Sales].[sales_date (月)].[All]" dimensionUniqueName="[Sales]" displayFolder="" count="2" memberValueDatatype="130" unbalanced="0"/>
    <cacheHierarchy uniqueName="[Sales].[sales_time]" caption="sales_time" attribute="1" defaultMemberUniqueName="[Sales].[sales_time].[All]" allUniqueName="[Sales].[sales_time].[All]" dimensionUniqueName="[Sales]" displayFolder="" count="0" memberValueDatatype="20" unbalanced="0"/>
    <cacheHierarchy uniqueName="[Sales].[sales_time 2]" caption="sales_time 2" attribute="1" defaultMemberUniqueName="[Sales].[sales_time 2].[All]" allUniqueName="[Sales].[sales_time 2].[All]" dimensionUniqueName="[Sales]" displayFolder="" count="0" memberValueDatatype="130" unbalanced="0"/>
    <cacheHierarchy uniqueName="[Sales].[Hour]" caption="Hour" attribute="1" defaultMemberUniqueName="[Sales].[Hour].[All]" allUniqueName="[Sales].[Hour].[All]" dimensionUniqueName="[Sales]" displayFolder="" count="0" memberValueDatatype="20" unbalanced="0"/>
    <cacheHierarchy uniqueName="[Sales_item].[sales_item]" caption="sales_item" attribute="1" defaultMemberUniqueName="[Sales_item].[sales_item].[All]" allUniqueName="[Sales_item].[sales_item].[All]" dimensionUniqueName="[Sales_item]" displayFolder="" count="0" memberValueDatatype="20" unbalanced="0"/>
    <cacheHierarchy uniqueName="[Sales_item].[sales_id]" caption="sales_id" attribute="1" defaultMemberUniqueName="[Sales_item].[sales_id].[All]" allUniqueName="[Sales_item].[sales_id].[All]" dimensionUniqueName="[Sales_item]" displayFolder="" count="0" memberValueDatatype="20" unbalanced="0"/>
    <cacheHierarchy uniqueName="[Sales_item].[product_id]" caption="product_id" attribute="1" defaultMemberUniqueName="[Sales_item].[product_id].[All]" allUniqueName="[Sales_item].[product_id].[All]" dimensionUniqueName="[Sales_item]" displayFolder="" count="0" memberValueDatatype="20" unbalanced="0"/>
    <cacheHierarchy uniqueName="[Sales_item].[sales_quantity]" caption="sales_quantity" attribute="1" defaultMemberUniqueName="[Sales_item].[sales_quantity].[All]" allUniqueName="[Sales_item].[sales_quantity].[All]" dimensionUniqueName="[Sales_item]" displayFolder="" count="0" memberValueDatatype="20" unbalanced="0"/>
    <cacheHierarchy uniqueName="[Sales_item].[subtotal]" caption="subtotal" attribute="1" defaultMemberUniqueName="[Sales_item].[subtotal].[All]" allUniqueName="[Sales_item].[subtotal].[All]" dimensionUniqueName="[Sales_item]" displayFolder="" count="0" memberValueDatatype="5" unbalanced="0"/>
    <cacheHierarchy uniqueName="[Sales].[sales_date (月份索引)]" caption="sales_date (月份索引)" attribute="1" defaultMemberUniqueName="[Sales].[sales_date (月份索引)].[All]" allUniqueName="[Sales].[sales_date (月份索引)].[All]" dimensionUniqueName="[Sales]" displayFolder="" count="0" memberValueDatatype="20" unbalanced="0" hidden="1"/>
    <cacheHierarchy uniqueName="[Measures].[__XL_Count Sales]" caption="__XL_Count Sales" measure="1" displayFolder="" measureGroup="Sales" count="0" hidden="1"/>
    <cacheHierarchy uniqueName="[Measures].[__XL_Count Customers]" caption="__XL_Count Customers" measure="1" displayFolder="" measureGroup="Customers" count="0" hidden="1"/>
    <cacheHierarchy uniqueName="[Measures].[__XL_Count Category]" caption="__XL_Count Category" measure="1" displayFolder="" measureGroup="Category" count="0" hidden="1"/>
    <cacheHierarchy uniqueName="[Measures].[__XL_Count Products]" caption="__XL_Count Products" measure="1" displayFolder="" measureGroup="Products" count="0" hidden="1"/>
    <cacheHierarchy uniqueName="[Measures].[__XL_Count Sales_item]" caption="__XL_Count Sales_item" measure="1" displayFolder="" measureGroup="Sales_item" count="0" hidden="1"/>
    <cacheHierarchy uniqueName="[Measures].[__沒有定義量值]" caption="__沒有定義量值" measure="1" displayFolder="" count="0" hidden="1"/>
    <cacheHierarchy uniqueName="[Measures].[以下資料的總和: sales_quantity]" caption="以下資料的總和: sales_quantity" measure="1" displayFolder="" measureGroup="Sales_item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以下資料的總和: subtotal]" caption="以下資料的總和: subtotal" measure="1" displayFolder="" measureGroup="Sales_item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以下資料的總和: sales_time]" caption="以下資料的總和: sales_time" measure="1" displayFolder="" measureGroup="Sale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以下資料的項目個數: sales_time]" caption="以下資料的項目個數: sales_time" measure="1" displayFolder="" measureGroup="Sale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以下資料的總和: sales_id]" caption="以下資料的總和: sales_id" measure="1" displayFolder="" measureGroup="Sale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以下資料的項目個數: sales_id]" caption="以下資料的項目個數: sales_id" measure="1" displayFolder="" measureGroup="Sale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以下資料的總和: Hour]" caption="以下資料的總和: Hour" measure="1" displayFolder="" measureGroup="Sale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以下資料的總和: sales_id 2]" caption="以下資料的總和: sales_id 2" measure="1" displayFolder="" measureGroup="Sales_item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以下資料的項目個數: sales_id 2]" caption="以下資料的項目個數: sales_id 2" measure="1" displayFolder="" measureGroup="Sales_item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以下資料的平均值: subtotal]" caption="以下資料的平均值: subtotal" measure="1" displayFolder="" measureGroup="Sales_item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1046985528"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haron" refreshedDate="46152.036515740743" backgroundQuery="1" createdVersion="3" refreshedVersion="8" minRefreshableVersion="3" recordCount="0" supportSubquery="1" supportAdvancedDrill="1" xr:uid="{026ED661-1C17-4053-A88E-CA5D710E0AD2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45">
    <cacheHierarchy uniqueName="[Category].[category_id]" caption="category_id" attribute="1" defaultMemberUniqueName="[Category].[category_id].[All]" allUniqueName="[Category].[category_id].[All]" dimensionUniqueName="[Category]" displayFolder="" count="0" memberValueDatatype="20" unbalanced="0"/>
    <cacheHierarchy uniqueName="[Category].[category_name]" caption="category_name" attribute="1" defaultMemberUniqueName="[Category].[category_name].[All]" allUniqueName="[Category].[category_name].[All]" dimensionUniqueName="[Category]" displayFolder="" count="0" memberValueDatatype="130" unbalanced="0"/>
    <cacheHierarchy uniqueName="[Category].[category_description]" caption="category_description" attribute="1" defaultMemberUniqueName="[Category].[category_description].[All]" allUniqueName="[Category].[category_description].[All]" dimensionUniqueName="[Category]" displayFolder="" count="0" memberValueDatatype="130" unbalanced="0"/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20" unbalanced="0"/>
    <cacheHierarchy uniqueName="[Customers].[customer_name]" caption="customer_name" attribute="1" defaultMemberUniqueName="[Customers].[customer_name].[All]" allUniqueName="[Customers].[customer_name].[All]" dimensionUniqueName="[Customers]" displayFolder="" count="0" memberValueDatatype="130" unbalanced="0"/>
    <cacheHierarchy uniqueName="[Customers].[customer_email]" caption="customer_email" attribute="1" defaultMemberUniqueName="[Customers].[customer_email].[All]" allUniqueName="[Customers].[customer_email].[All]" dimensionUniqueName="[Customers]" displayFolder="" count="0" memberValueDatatype="130" unbalanced="0"/>
    <cacheHierarchy uniqueName="[Customers].[customer_join_date]" caption="customer_join_date" attribute="1" time="1" defaultMemberUniqueName="[Customers].[customer_join_date].[All]" allUniqueName="[Customers].[customer_join_date].[All]" dimensionUniqueName="[Customers]" displayFolder="" count="0" memberValueDatatype="7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2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product_price]" caption="product_price" attribute="1" defaultMemberUniqueName="[Products].[product_price].[All]" allUniqueName="[Products].[product_price].[All]" dimensionUniqueName="[Products]" displayFolder="" count="0" memberValueDatatype="5" unbalanced="0"/>
    <cacheHierarchy uniqueName="[Products].[product_stock]" caption="product_stock" attribute="1" defaultMemberUniqueName="[Products].[product_stock].[All]" allUniqueName="[Products].[product_stock].[All]" dimensionUniqueName="[Products]" displayFolder="" count="0" memberValueDatatype="20" unbalanced="0"/>
    <cacheHierarchy uniqueName="[Products].[product_sku]" caption="product_sku" attribute="1" defaultMemberUniqueName="[Products].[product_sku].[All]" allUniqueName="[Products].[product_sku].[All]" dimensionUniqueName="[Products]" displayFolder="" count="0" memberValueDatatype="5" unbalanced="0"/>
    <cacheHierarchy uniqueName="[Products].[category_id]" caption="category_id" attribute="1" defaultMemberUniqueName="[Products].[category_id].[All]" allUniqueName="[Products].[category_id].[All]" dimensionUniqueName="[Products]" displayFolder="" count="0" memberValueDatatype="20" unbalanced="0"/>
    <cacheHierarchy uniqueName="[Sales].[sales_id]" caption="sales_id" attribute="1" defaultMemberUniqueName="[Sales].[sales_id].[All]" allUniqueName="[Sales].[sales_id].[All]" dimensionUniqueName="[Sales]" displayFolder="" count="0" memberValueDatatype="20" unbalanced="0"/>
    <cacheHierarchy uniqueName="[Sales].[sales_date]" caption="sales_date" attribute="1" time="1" defaultMemberUniqueName="[Sales].[sales_date].[All]" allUniqueName="[Sales].[sales_date].[All]" dimensionUniqueName="[Sales]" displayFolder="" count="2" memberValueDatatype="7" unbalanced="0"/>
    <cacheHierarchy uniqueName="[Sales].[customer_id]" caption="customer_id" attribute="1" defaultMemberUniqueName="[Sales].[customer_id].[All]" allUniqueName="[Sales].[customer_id].[All]" dimensionUniqueName="[Sales]" displayFolder="" count="0" memberValueDatatype="20" unbalanced="0"/>
    <cacheHierarchy uniqueName="[Sales].[sales_status]" caption="sales_status" attribute="1" defaultMemberUniqueName="[Sales].[sales_status].[All]" allUniqueName="[Sales].[sales_status].[All]" dimensionUniqueName="[Sales]" displayFolder="" count="0" memberValueDatatype="130" unbalanced="0"/>
    <cacheHierarchy uniqueName="[Sales].[sales_date (年)]" caption="sales_date (年)" attribute="1" defaultMemberUniqueName="[Sales].[sales_date (年)].[All]" allUniqueName="[Sales].[sales_date (年)].[All]" dimensionUniqueName="[Sales]" displayFolder="" count="0" memberValueDatatype="130" unbalanced="0"/>
    <cacheHierarchy uniqueName="[Sales].[sales_date (季)]" caption="sales_date (季)" attribute="1" defaultMemberUniqueName="[Sales].[sales_date (季)].[All]" allUniqueName="[Sales].[sales_date (季)].[All]" dimensionUniqueName="[Sales]" displayFolder="" count="0" memberValueDatatype="130" unbalanced="0"/>
    <cacheHierarchy uniqueName="[Sales].[sales_date (月)]" caption="sales_date (月)" attribute="1" defaultMemberUniqueName="[Sales].[sales_date (月)].[All]" allUniqueName="[Sales].[sales_date (月)].[All]" dimensionUniqueName="[Sales]" displayFolder="" count="0" memberValueDatatype="130" unbalanced="0"/>
    <cacheHierarchy uniqueName="[Sales].[sales_time]" caption="sales_time" attribute="1" defaultMemberUniqueName="[Sales].[sales_time].[All]" allUniqueName="[Sales].[sales_time].[All]" dimensionUniqueName="[Sales]" displayFolder="" count="0" memberValueDatatype="20" unbalanced="0"/>
    <cacheHierarchy uniqueName="[Sales].[sales_time 2]" caption="sales_time 2" attribute="1" defaultMemberUniqueName="[Sales].[sales_time 2].[All]" allUniqueName="[Sales].[sales_time 2].[All]" dimensionUniqueName="[Sales]" displayFolder="" count="0" memberValueDatatype="130" unbalanced="0"/>
    <cacheHierarchy uniqueName="[Sales].[Hour]" caption="Hour" attribute="1" defaultMemberUniqueName="[Sales].[Hour].[All]" allUniqueName="[Sales].[Hour].[All]" dimensionUniqueName="[Sales]" displayFolder="" count="0" memberValueDatatype="20" unbalanced="0"/>
    <cacheHierarchy uniqueName="[Sales_item].[sales_item]" caption="sales_item" attribute="1" defaultMemberUniqueName="[Sales_item].[sales_item].[All]" allUniqueName="[Sales_item].[sales_item].[All]" dimensionUniqueName="[Sales_item]" displayFolder="" count="0" memberValueDatatype="20" unbalanced="0"/>
    <cacheHierarchy uniqueName="[Sales_item].[sales_id]" caption="sales_id" attribute="1" defaultMemberUniqueName="[Sales_item].[sales_id].[All]" allUniqueName="[Sales_item].[sales_id].[All]" dimensionUniqueName="[Sales_item]" displayFolder="" count="0" memberValueDatatype="20" unbalanced="0"/>
    <cacheHierarchy uniqueName="[Sales_item].[product_id]" caption="product_id" attribute="1" defaultMemberUniqueName="[Sales_item].[product_id].[All]" allUniqueName="[Sales_item].[product_id].[All]" dimensionUniqueName="[Sales_item]" displayFolder="" count="0" memberValueDatatype="20" unbalanced="0"/>
    <cacheHierarchy uniqueName="[Sales_item].[sales_quantity]" caption="sales_quantity" attribute="1" defaultMemberUniqueName="[Sales_item].[sales_quantity].[All]" allUniqueName="[Sales_item].[sales_quantity].[All]" dimensionUniqueName="[Sales_item]" displayFolder="" count="0" memberValueDatatype="20" unbalanced="0"/>
    <cacheHierarchy uniqueName="[Sales_item].[subtotal]" caption="subtotal" attribute="1" defaultMemberUniqueName="[Sales_item].[subtotal].[All]" allUniqueName="[Sales_item].[subtotal].[All]" dimensionUniqueName="[Sales_item]" displayFolder="" count="0" memberValueDatatype="5" unbalanced="0"/>
    <cacheHierarchy uniqueName="[Sales].[sales_date (月份索引)]" caption="sales_date (月份索引)" attribute="1" defaultMemberUniqueName="[Sales].[sales_date (月份索引)].[All]" allUniqueName="[Sales].[sales_date (月份索引)].[All]" dimensionUniqueName="[Sales]" displayFolder="" count="0" memberValueDatatype="20" unbalanced="0" hidden="1"/>
    <cacheHierarchy uniqueName="[Measures].[__XL_Count Sales]" caption="__XL_Count Sales" measure="1" displayFolder="" measureGroup="Sales" count="0" hidden="1"/>
    <cacheHierarchy uniqueName="[Measures].[__XL_Count Customers]" caption="__XL_Count Customers" measure="1" displayFolder="" measureGroup="Customers" count="0" hidden="1"/>
    <cacheHierarchy uniqueName="[Measures].[__XL_Count Category]" caption="__XL_Count Category" measure="1" displayFolder="" measureGroup="Category" count="0" hidden="1"/>
    <cacheHierarchy uniqueName="[Measures].[__XL_Count Products]" caption="__XL_Count Products" measure="1" displayFolder="" measureGroup="Products" count="0" hidden="1"/>
    <cacheHierarchy uniqueName="[Measures].[__XL_Count Sales_item]" caption="__XL_Count Sales_item" measure="1" displayFolder="" measureGroup="Sales_item" count="0" hidden="1"/>
    <cacheHierarchy uniqueName="[Measures].[__沒有定義量值]" caption="__沒有定義量值" measure="1" displayFolder="" count="0" hidden="1"/>
    <cacheHierarchy uniqueName="[Measures].[以下資料的總和: sales_quantity]" caption="以下資料的總和: sales_quantity" measure="1" displayFolder="" measureGroup="Sales_item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以下資料的總和: subtotal]" caption="以下資料的總和: subtotal" measure="1" displayFolder="" measureGroup="Sales_item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以下資料的總和: sales_time]" caption="以下資料的總和: sales_time" measure="1" displayFolder="" measureGroup="Sale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以下資料的項目個數: sales_time]" caption="以下資料的項目個數: sales_time" measure="1" displayFolder="" measureGroup="Sale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以下資料的總和: sales_id]" caption="以下資料的總和: sales_id" measure="1" displayFolder="" measureGroup="Sale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以下資料的項目個數: sales_id]" caption="以下資料的項目個數: sales_id" measure="1" displayFolder="" measureGroup="Sale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以下資料的總和: Hour]" caption="以下資料的總和: Hour" measure="1" displayFolder="" measureGroup="Sale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以下資料的總和: sales_id 2]" caption="以下資料的總和: sales_id 2" measure="1" displayFolder="" measureGroup="Sales_item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以下資料的項目個數: sales_id 2]" caption="以下資料的項目個數: sales_id 2" measure="1" displayFolder="" measureGroup="Sales_item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以下資料的平均值: subtotal]" caption="以下資料的平均值: subtotal" measure="1" displayFolder="" measureGroup="Sales_item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</cacheHierarchies>
  <kpis count="0"/>
  <extLst>
    <ext xmlns:x14="http://schemas.microsoft.com/office/spreadsheetml/2009/9/main" uri="{725AE2AE-9491-48be-B2B4-4EB974FC3084}">
      <x14:pivotCacheDefinition pivotCacheId="1917209940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017E28-8041-4BF2-A95A-B992078E69EA}" name="樞紐分析表1" cacheId="110" applyNumberFormats="0" applyBorderFormats="0" applyFontFormats="0" applyPatternFormats="0" applyAlignmentFormats="0" applyWidthHeightFormats="1" dataCaption="值" grandTotalCaption="Total" tag="c4c00acd-5091-49de-a56a-65c7c4618161" updatedVersion="8" minRefreshableVersion="5" useAutoFormatting="1" subtotalHiddenItems="1" itemPrintTitles="1" createdVersion="8" indent="0" outline="1" outlineData="1" multipleFieldFilters="0" chartFormat="31" rowHeaderCaption="Sales_Month">
  <location ref="B1:D31" firstHeaderRow="0" firstDataRow="1" firstDataCol="1"/>
  <pivotFields count="4">
    <pivotField name="sales_Month"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2">
    <field x="3"/>
    <field x="0"/>
  </rowFields>
  <rowItems count="30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1"/>
    </i>
    <i r="1">
      <x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1"/>
    </i>
    <i r="1">
      <x v="10"/>
    </i>
    <i>
      <x v="2"/>
    </i>
    <i r="1">
      <x/>
    </i>
    <i r="1">
      <x v="1"/>
    </i>
    <i r="1">
      <x v="2"/>
    </i>
    <i r="1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ales_quantity" fld="1" baseField="0" baseItem="4"/>
    <dataField name="Revenue" fld="2" baseField="0" baseItem="8"/>
  </dataFields>
  <chartFormats count="33"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6" format="11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6" format="12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6" format="13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6" format="14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6" format="15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  <chartFormat chart="6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6" format="17">
      <pivotArea type="data" outline="0" fieldPosition="0">
        <references count="2">
          <reference field="4294967294" count="1" selected="0">
            <x v="1"/>
          </reference>
          <reference field="0" count="1" selected="0">
            <x v="7"/>
          </reference>
        </references>
      </pivotArea>
    </chartFormat>
    <chartFormat chart="6" format="18">
      <pivotArea type="data" outline="0" fieldPosition="0">
        <references count="2">
          <reference field="4294967294" count="1" selected="0">
            <x v="1"/>
          </reference>
          <reference field="0" count="1" selected="0">
            <x v="6"/>
          </reference>
        </references>
      </pivotArea>
    </chartFormat>
    <chartFormat chart="6" format="19">
      <pivotArea type="data" outline="0" fieldPosition="0">
        <references count="2">
          <reference field="4294967294" count="1" selected="0">
            <x v="1"/>
          </reference>
          <reference field="0" count="1" selected="0">
            <x v="8"/>
          </reference>
        </references>
      </pivotArea>
    </chartFormat>
    <chartFormat chart="6" format="20">
      <pivotArea type="data" outline="0" fieldPosition="0">
        <references count="2">
          <reference field="4294967294" count="1" selected="0">
            <x v="1"/>
          </reference>
          <reference field="0" count="1" selected="0">
            <x v="9"/>
          </reference>
        </references>
      </pivotArea>
    </chartFormat>
    <chartFormat chart="6" format="21">
      <pivotArea type="data" outline="0" fieldPosition="0">
        <references count="2">
          <reference field="4294967294" count="1" selected="0">
            <x v="1"/>
          </reference>
          <reference field="0" count="1" selected="0">
            <x v="11"/>
          </reference>
        </references>
      </pivotArea>
    </chartFormat>
    <chartFormat chart="6" format="22">
      <pivotArea type="data" outline="0" fieldPosition="0">
        <references count="2">
          <reference field="4294967294" count="1" selected="0">
            <x v="1"/>
          </reference>
          <reference field="0" count="1" selected="0">
            <x v="10"/>
          </reference>
        </references>
      </pivotArea>
    </chartFormat>
    <chartFormat chart="24" format="7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7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4" format="73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4" format="7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4" format="75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24" format="76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24" format="77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24" format="78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24" format="79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24" format="80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  <chartFormat chart="24" format="81">
      <pivotArea type="data" outline="0" fieldPosition="0">
        <references count="2">
          <reference field="4294967294" count="1" selected="0">
            <x v="1"/>
          </reference>
          <reference field="0" count="1" selected="0">
            <x v="6"/>
          </reference>
        </references>
      </pivotArea>
    </chartFormat>
    <chartFormat chart="24" format="82">
      <pivotArea type="data" outline="0" fieldPosition="0">
        <references count="2">
          <reference field="4294967294" count="1" selected="0">
            <x v="1"/>
          </reference>
          <reference field="0" count="1" selected="0">
            <x v="7"/>
          </reference>
        </references>
      </pivotArea>
    </chartFormat>
    <chartFormat chart="24" format="83">
      <pivotArea type="data" outline="0" fieldPosition="0">
        <references count="2">
          <reference field="4294967294" count="1" selected="0">
            <x v="1"/>
          </reference>
          <reference field="0" count="1" selected="0">
            <x v="8"/>
          </reference>
        </references>
      </pivotArea>
    </chartFormat>
    <chartFormat chart="24" format="84">
      <pivotArea type="data" outline="0" fieldPosition="0">
        <references count="2">
          <reference field="4294967294" count="1" selected="0">
            <x v="1"/>
          </reference>
          <reference field="0" count="1" selected="0">
            <x v="9"/>
          </reference>
        </references>
      </pivotArea>
    </chartFormat>
    <chartFormat chart="24" format="85">
      <pivotArea type="data" outline="0" fieldPosition="0">
        <references count="2">
          <reference field="4294967294" count="1" selected="0">
            <x v="1"/>
          </reference>
          <reference field="0" count="1" selected="0">
            <x v="11"/>
          </reference>
        </references>
      </pivotArea>
    </chartFormat>
    <chartFormat chart="24" format="86">
      <pivotArea type="data" outline="0" fieldPosition="0">
        <references count="2">
          <reference field="4294967294" count="1" selected="0">
            <x v="1"/>
          </reference>
          <reference field="0" count="1" selected="0">
            <x v="10"/>
          </reference>
        </references>
      </pivotArea>
    </chartFormat>
  </chartFormats>
  <pivotHierarchies count="45"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sales_Month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sales_quantity"/>
    <pivotHierarchy dragToData="1" caption="Revenu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Medium9" showRowHeaders="1" showColHeaders="1" showRowStripes="1" showColStripes="1" showLastColumn="1"/>
  <rowHierarchiesUsage count="2">
    <rowHierarchyUsage hierarchyUsage="17"/>
    <rowHierarchyUsage hierarchyUsage="1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]"/>
        <x15:activeTabTopLevelEntity name="[Sales_item]"/>
        <x15:activeTabTopLevelEntity name="[Categor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226B0D-C215-49A4-882F-97FD71D7C0D5}" name="樞紐分析表3" cacheId="101" applyNumberFormats="0" applyBorderFormats="0" applyFontFormats="0" applyPatternFormats="0" applyAlignmentFormats="0" applyWidthHeightFormats="1" dataCaption="值" grandTotalCaption="Total" tag="55732d3a-2d5c-4dcd-94dc-72c534d6f965" updatedVersion="8" minRefreshableVersion="5" useAutoFormatting="1" subtotalHiddenItems="1" itemPrintTitles="1" createdVersion="8" indent="0" outline="1" outlineData="1" multipleFieldFilters="0" chartFormat="11" rowHeaderCaption="Category">
  <location ref="B1:C12" firstHeaderRow="1" firstDataRow="1" firstDataCol="1"/>
  <pivotFields count="4"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total_units_sold" fld="1" baseField="0" baseItem="0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7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7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9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9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</chartFormats>
  <pivotHierarchies count="4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Sales].[sales_date (年)].&amp;[2024]"/>
      </members>
    </pivotHierarchy>
    <pivotHierarchy multipleItemSelectionAllowed="1" dragToData="1">
      <members count="1" level="1">
        <member name="[Sales].[sales_date (季)].&amp;[季1]"/>
      </members>
    </pivotHierarchy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total_units_sol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Medium9" showRowHeaders="1" showColHeaders="1" showRowStripes="1" showColStripes="1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tegory]"/>
        <x15:activeTabTopLevelEntity name="[Sales_item]"/>
        <x15:activeTabTopLevelEntity name="[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C7F24A-5BDD-43AF-ACCE-3D7D7F18536C}" name="樞紐分析表5" cacheId="104" applyNumberFormats="0" applyBorderFormats="0" applyFontFormats="0" applyPatternFormats="0" applyAlignmentFormats="0" applyWidthHeightFormats="1" dataCaption="值" tag="7c2de940-286f-44fd-a690-c41a5d74662e" updatedVersion="8" minRefreshableVersion="5" useAutoFormatting="1" itemPrintTitles="1" createdVersion="8" indent="0" outline="1" outlineData="1" multipleFieldFilters="0" chartFormat="10" rowHeaderCaption="Hour">
  <location ref="B1:C14" firstHeaderRow="1" firstDataRow="1" firstDataCol="1"/>
  <pivotFields count="2"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Count of sales_id" fld="1" subtotal="count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9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9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Hierarchies count="4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Count of sales_id"/>
    <pivotHierarchy dragToData="1"/>
    <pivotHierarchy dragToData="1"/>
    <pivotHierarchy dragToData="1"/>
    <pivotHierarchy dragToData="1"/>
  </pivotHierarchies>
  <pivotTableStyleInfo name="PivotStyleMedium2" showRowHeaders="1" showColHeaders="1" showRowStripes="0" showColStripes="0" showLastColumn="1"/>
  <rowHierarchiesUsage count="1">
    <rowHierarchyUsage hierarchyUsage="2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561413-C310-4828-B5B1-65729FD93B5B}" name="樞紐分析表6" cacheId="107" dataOnRows="1" applyNumberFormats="0" applyBorderFormats="0" applyFontFormats="0" applyPatternFormats="0" applyAlignmentFormats="0" applyWidthHeightFormats="1" dataCaption="Sales" tag="bdccb435-ece4-4a7f-942e-e34edf86943b" updatedVersion="8" minRefreshableVersion="5" useAutoFormatting="1" subtotalHiddenItems="1" itemPrintTitles="1" createdVersion="8" indent="0" outline="1" outlineData="1" multipleFieldFilters="0">
  <location ref="B1:C4" firstHeaderRow="1" firstDataRow="1" firstDataCol="1"/>
  <pivotFields count="3"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-2"/>
  </rowFields>
  <rowItems count="3">
    <i>
      <x/>
    </i>
    <i i="1">
      <x v="1"/>
    </i>
    <i i="2">
      <x v="2"/>
    </i>
  </rowItems>
  <colItems count="1">
    <i/>
  </colItems>
  <dataFields count="3">
    <dataField name="Total Revenue" fld="0" baseField="0" baseItem="0"/>
    <dataField name="Number of Sales" fld="1" subtotal="count" baseField="0" baseItem="1"/>
    <dataField name="Avg per Sales" fld="2" subtotal="average" baseField="0" baseItem="0"/>
  </dataFields>
  <formats count="3">
    <format dxfId="26">
      <pivotArea collapsedLevelsAreSubtotals="1" fieldPosition="0">
        <references count="1">
          <reference field="4294967294" count="1">
            <x v="0"/>
          </reference>
        </references>
      </pivotArea>
    </format>
    <format dxfId="25">
      <pivotArea collapsedLevelsAreSubtotals="1" fieldPosition="0">
        <references count="1">
          <reference field="4294967294" count="1">
            <x v="2"/>
          </reference>
        </references>
      </pivotArea>
    </format>
    <format dxfId="2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Hierarchies count="4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Total Revenue"/>
    <pivotHierarchy dragToData="1"/>
    <pivotHierarchy dragToData="1"/>
    <pivotHierarchy dragToData="1"/>
    <pivotHierarchy dragToData="1"/>
    <pivotHierarchy dragToData="1"/>
    <pivotHierarchy dragToData="1"/>
    <pivotHierarchy dragToData="1" caption="Number of Sales"/>
    <pivotHierarchy dragToData="1" caption="Avg per Sales"/>
  </pivotHierarchies>
  <pivotTableStyleInfo name="PivotStyleMedium2" showRowHeaders="1" showColHeaders="1" showRowStripes="0" showColStripes="0" showLastColumn="1"/>
  <rowHierarchiesUsage count="1">
    <rowHierarchyUsage hierarchyUsage="-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_item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connectionId="7" xr16:uid="{88D1109F-B1FF-47CC-ADF2-CA94CB27FAF0}" autoFormatId="16" applyNumberFormats="0" applyBorderFormats="0" applyFontFormats="0" applyPatternFormats="0" applyAlignmentFormats="0" applyWidthHeightFormats="0">
  <queryTableRefresh nextId="4">
    <queryTableFields count="3">
      <queryTableField id="1" name="category_id" tableColumnId="1"/>
      <queryTableField id="2" name="category_name" tableColumnId="2"/>
      <queryTableField id="3" name="category_description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2" connectionId="10" xr16:uid="{1D35E3A9-C445-40C1-8D35-CCE8CF3DE584}" autoFormatId="16" applyNumberFormats="0" applyBorderFormats="0" applyFontFormats="0" applyPatternFormats="0" applyAlignmentFormats="0" applyWidthHeightFormats="0">
  <queryTableRefresh nextId="7">
    <queryTableFields count="6">
      <queryTableField id="1" name="product_id" tableColumnId="1"/>
      <queryTableField id="2" name="product_name" tableColumnId="2"/>
      <queryTableField id="3" name="product_price" tableColumnId="3"/>
      <queryTableField id="4" name="product_stock" tableColumnId="4"/>
      <queryTableField id="5" name="product_sku" tableColumnId="5"/>
      <queryTableField id="6" name="category_id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3" connectionId="9" xr16:uid="{5F22005D-5BDD-47F0-92E1-7D6D638D2A6D}" autoFormatId="16" applyNumberFormats="0" applyBorderFormats="0" applyFontFormats="0" applyPatternFormats="0" applyAlignmentFormats="0" applyWidthHeightFormats="0">
  <queryTableRefresh nextId="5">
    <queryTableFields count="4">
      <queryTableField id="1" name="customer_id" tableColumnId="1"/>
      <queryTableField id="2" name="customer_name" tableColumnId="2"/>
      <queryTableField id="3" name="customer_email" tableColumnId="3"/>
      <queryTableField id="4" name="customer_join_date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4" connectionId="12" xr16:uid="{70A4E820-4F7B-4D41-8A76-6A5B61084FB7}" autoFormatId="16" applyNumberFormats="0" applyBorderFormats="0" applyFontFormats="0" applyPatternFormats="0" applyAlignmentFormats="0" applyWidthHeightFormats="0">
  <queryTableRefresh nextId="7" unboundColumnsRight="2">
    <queryTableFields count="6">
      <queryTableField id="1" name="sales_id" tableColumnId="1"/>
      <queryTableField id="2" name="sales_date" tableColumnId="2"/>
      <queryTableField id="3" name="customer_id" tableColumnId="3"/>
      <queryTableField id="4" name="sales_status" tableColumnId="4"/>
      <queryTableField id="5" dataBound="0" tableColumnId="5"/>
      <queryTableField id="6" dataBound="0" tableColumnId="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connectionId="13" xr16:uid="{72C8C15D-0A5B-4750-B411-6895A34B69BD}" autoFormatId="16" applyNumberFormats="0" applyBorderFormats="0" applyFontFormats="0" applyPatternFormats="0" applyAlignmentFormats="0" applyWidthHeightFormats="0">
  <queryTableRefresh nextId="5">
    <queryTableFields count="4">
      <queryTableField id="1" name="sales_item" tableColumnId="1"/>
      <queryTableField id="2" name="sales_id" tableColumnId="2"/>
      <queryTableField id="3" name="product_id" tableColumnId="3"/>
      <queryTableField id="4" name="sales_quantity" tableColumnId="4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ategory_name" xr10:uid="{3F7DA326-BCA7-43FA-AAD1-83B0306D5AD7}" sourceName="[Category].[category_name]">
  <pivotTables>
    <pivotTable tabId="13" name="樞紐分析表1"/>
  </pivotTables>
  <data>
    <olap pivotCacheId="460726877">
      <levels count="2">
        <level uniqueName="[Category].[category_name].[(All)]" sourceCaption="(All)" count="0"/>
        <level uniqueName="[Category].[category_name].[category_name]" sourceCaption="category_name" count="10">
          <ranges>
            <range startItem="0">
              <i n="[Category].[category_name].&amp;[Beverages]" c="Beverages"/>
              <i n="[Category].[category_name].&amp;[Electronics Accessories]" c="Electronics Accessories"/>
              <i n="[Category].[category_name].&amp;[Fresh Food]" c="Fresh Food"/>
              <i n="[Category].[category_name].&amp;[Frozen Food]" c="Frozen Food"/>
              <i n="[Category].[category_name].&amp;[Household Items]" c="Household Items"/>
              <i n="[Category].[category_name].&amp;[Personal Care]" c="Personal Care"/>
              <i n="[Category].[category_name].&amp;[Pet Supplies]" c="Pet Supplies"/>
              <i n="[Category].[category_name].&amp;[Snacks]" c="Snacks"/>
              <i n="[Category].[category_name].&amp;[Stationery]" c="Stationery"/>
              <i n="[Category].[category_name].&amp;[Toys]" c="Toys"/>
            </range>
          </ranges>
        </level>
      </levels>
      <selections count="1">
        <selection n="[Category].[category_name].[All]"/>
      </selections>
    </olap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ales_date__月" xr10:uid="{273F4FEA-AE9B-4EA0-B614-F6FDC3F65793}" sourceName="[Sales].[sales_date (月)]">
  <pivotTables>
    <pivotTable tabId="17" name="樞紐分析表3"/>
  </pivotTables>
  <data>
    <olap pivotCacheId="1046985528">
      <levels count="2">
        <level uniqueName="[Sales].[sales_date (月)].[(All)]" sourceCaption="(All)" count="0"/>
        <level uniqueName="[Sales].[sales_date (月)].[sales_date (月)]" sourceCaption="sales_date (月)" count="12">
          <ranges>
            <range startItem="0">
              <i n="[Sales].[sales_date (月)].&amp;[Jan]" c="Jan"/>
              <i n="[Sales].[sales_date (月)].&amp;[Feb]" c="Feb"/>
              <i n="[Sales].[sales_date (月)].&amp;[Mar]" c="Mar"/>
              <i n="[Sales].[sales_date (月)].&amp;[Apr]" c="Apr"/>
              <i n="[Sales].[sales_date (月)].&amp;[May]" c="May"/>
              <i n="[Sales].[sales_date (月)].&amp;[Jun]" c="Jun"/>
              <i n="[Sales].[sales_date (月)].&amp;[Jul]" c="Jul"/>
              <i n="[Sales].[sales_date (月)].&amp;[Aug]" c="Aug"/>
              <i n="[Sales].[sales_date (月)].&amp;[Sep]" c="Sep"/>
              <i n="[Sales].[sales_date (月)].&amp;[Oct]" c="Oct"/>
              <i n="[Sales].[sales_date (月)].&amp;[Nov]" c="Nov"/>
              <i n="[Sales].[sales_date (月)].&amp;[Dec]" c="Dec"/>
            </range>
          </ranges>
        </level>
      </levels>
      <selections count="1">
        <selection n="[Sales].[sales_date (月)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tegory_name 1" xr10:uid="{AFBF98FC-133B-49EB-89AC-F877FD519A53}" cache="Slicer_category_name" caption="category_name" level="1" style="SlicerStyleDark1" rowHeight="273050"/>
  <slicer name="Sales_month" xr10:uid="{65F175B6-2F95-4DAA-B129-EB5A360E69B6}" cache="Slicer_sales_date__月" caption="sales_date (月)" showCaption="0" level="1" style="SlicerStyleDark1" rowHeight="2730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tegory_name" xr10:uid="{D9800B34-DE88-4234-A51A-494026455307}" cache="Slicer_category_name" caption="category_name" level="1" style="SlicerStyleDark1" rowHeight="27305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B6DEDD-5CF6-4D64-B70F-DCBEA20A237A}" name="Category" displayName="Category" ref="A1:C11" tableType="queryTable" totalsRowShown="0">
  <autoFilter ref="A1:C11" xr:uid="{97B6DEDD-5CF6-4D64-B70F-DCBEA20A237A}"/>
  <tableColumns count="3">
    <tableColumn id="1" xr3:uid="{0EC40362-C4D3-4E45-9486-2E235C8C06B2}" uniqueName="1" name="category_id" queryTableFieldId="1"/>
    <tableColumn id="2" xr3:uid="{1801850E-A005-497F-A854-6A398F79A2DD}" uniqueName="2" name="category_name" queryTableFieldId="2" dataDxfId="36"/>
    <tableColumn id="3" xr3:uid="{D1149790-4017-4CFE-AC5C-F347E054E354}" uniqueName="3" name="category_description" queryTableFieldId="3" dataDxfId="35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469AD23-8DDF-47A8-A6F6-C614A7EA302B}" name="Products" displayName="Products" ref="A1:F26" tableType="queryTable" totalsRowShown="0">
  <autoFilter ref="A1:F26" xr:uid="{D469AD23-8DDF-47A8-A6F6-C614A7EA302B}"/>
  <tableColumns count="6">
    <tableColumn id="1" xr3:uid="{AEB64478-69D1-49C1-AE23-83F7026ECB47}" uniqueName="1" name="product_id" queryTableFieldId="1"/>
    <tableColumn id="2" xr3:uid="{AF376B5A-D2B5-45B7-A63D-795B6B53A383}" uniqueName="2" name="product_name" queryTableFieldId="2" dataDxfId="34"/>
    <tableColumn id="3" xr3:uid="{5E6C01FE-1DE8-46EC-BA5F-0D58F3908DEC}" uniqueName="3" name="product_price" queryTableFieldId="3"/>
    <tableColumn id="4" xr3:uid="{131F7997-C90C-4D65-B8F8-2EAA10EA0ED7}" uniqueName="4" name="product_stock" queryTableFieldId="4"/>
    <tableColumn id="5" xr3:uid="{6A15A490-9AE2-4D50-93A3-3483FB8BEE7A}" uniqueName="5" name="product_sku" queryTableFieldId="5"/>
    <tableColumn id="6" xr3:uid="{256B2F6A-7AAD-46EA-8A68-0E397B8E4454}" uniqueName="6" name="category_id" queryTableFieldId="6"/>
  </tableColumns>
  <tableStyleInfo name="TableStyleMedium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CBE807B-D964-4A23-BBCB-F75C019BF30F}" name="Customers" displayName="Customers" ref="A1:D51" tableType="queryTable" totalsRowShown="0">
  <autoFilter ref="A1:D51" xr:uid="{9CBE807B-D964-4A23-BBCB-F75C019BF30F}"/>
  <tableColumns count="4">
    <tableColumn id="1" xr3:uid="{5DB44D8B-5792-48F3-8745-D4CE70CAB281}" uniqueName="1" name="customer_id" queryTableFieldId="1"/>
    <tableColumn id="2" xr3:uid="{7C7F822F-046E-4A2B-979C-07AA313037DB}" uniqueName="2" name="customer_name" queryTableFieldId="2" dataDxfId="33"/>
    <tableColumn id="3" xr3:uid="{5FC60EC3-D193-4088-8C22-59AEAAA2C0C6}" uniqueName="3" name="customer_email" queryTableFieldId="3" dataDxfId="32"/>
    <tableColumn id="4" xr3:uid="{1A1116D7-4F0D-4D2A-813D-414435180D1B}" uniqueName="4" name="customer_join_date" queryTableFieldId="4" dataDxfId="31"/>
  </tableColumns>
  <tableStyleInfo name="TableStyleMedium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3A37FC9-2802-40EF-B7CA-2E26142EE69C}" name="Sales" displayName="Sales" ref="A1:F101" tableType="queryTable" totalsRowShown="0">
  <autoFilter ref="A1:F101" xr:uid="{53A37FC9-2802-40EF-B7CA-2E26142EE69C}"/>
  <tableColumns count="6">
    <tableColumn id="1" xr3:uid="{48622561-FEB4-4432-99D7-2340AC75F053}" uniqueName="1" name="sales_id" queryTableFieldId="1"/>
    <tableColumn id="2" xr3:uid="{625B01E9-B68A-415E-81B3-5189E6D1ADB7}" uniqueName="2" name="sales_date" queryTableFieldId="2" dataDxfId="30"/>
    <tableColumn id="3" xr3:uid="{FBC41A61-21E7-425B-AAE2-3C6CC4006E37}" uniqueName="3" name="customer_id" queryTableFieldId="3"/>
    <tableColumn id="4" xr3:uid="{BA5A39FF-9212-4B8A-BF81-BAAB9D2A8B9E}" uniqueName="4" name="sales_status" queryTableFieldId="4" dataDxfId="29"/>
    <tableColumn id="5" xr3:uid="{CD6F7722-F1B4-4B2B-9EEE-DD6A926444D5}" uniqueName="5" name="sales_time" queryTableFieldId="5" dataDxfId="28"/>
    <tableColumn id="6" xr3:uid="{A91B0105-8268-418F-9431-0F04F3081E2B}" uniqueName="6" name="Hour" queryTableFieldId="6" dataDxfId="27">
      <calculatedColumnFormula>HOUR(Sales[[#This Row],[sales_time]])</calculatedColumnFormula>
    </tableColumn>
  </tableColumns>
  <tableStyleInfo name="TableStyleMedium1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BA49C19-3362-4D77-92E8-4257D3263C59}" name="Sales_item" displayName="Sales_item" ref="A1:D201" tableType="queryTable" totalsRowShown="0">
  <autoFilter ref="A1:D201" xr:uid="{4BA49C19-3362-4D77-92E8-4257D3263C59}"/>
  <tableColumns count="4">
    <tableColumn id="1" xr3:uid="{520C6BD8-761A-49E2-9DA5-C4A50A83398B}" uniqueName="1" name="sales_item" queryTableFieldId="1"/>
    <tableColumn id="2" xr3:uid="{2101000C-5E84-4B49-84D8-9BEF96E9C997}" uniqueName="2" name="sales_id" queryTableFieldId="2"/>
    <tableColumn id="3" xr3:uid="{01A750ED-CD5C-4319-AE49-E2880F90D287}" uniqueName="3" name="product_id" queryTableFieldId="3"/>
    <tableColumn id="4" xr3:uid="{5293B81B-CD1A-4E0B-AB25-9845A81C6377}" uniqueName="4" name="sales_quantity" queryTableFieldId="4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Timeline_sales_date" xr10:uid="{13F30A60-1AE5-4D20-9522-87B94E3F79A3}" sourceName="[Sales].[sales_date]">
  <pivotTables>
    <pivotTable tabId="17" name="樞紐分析表3"/>
    <pivotTable tabId="19" name="樞紐分析表5"/>
    <pivotTable tabId="20" name="樞紐分析表6"/>
    <pivotTable tabId="13" name="樞紐分析表1"/>
  </pivotTables>
  <state minimalRefreshVersion="6" lastRefreshVersion="6" pivotCacheId="1917209940" filterType="unknown">
    <bounds startDate="2024-01-01T00:00:00" endDate="2027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sales_date 1" xr10:uid="{3EDACAA8-7D69-47D9-89CA-427261AB6E33}" cache="Timeline_sales_date" caption="sales_date" level="0" selectionLevel="0" scrollPosition="2024-01-01T00:00:00" style="TimeSlicerStyleDark1"/>
</timelines>
</file>

<file path=xl/timelines/timeline2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sales_date" xr10:uid="{0745B0DE-8FAA-41AA-BA8B-C8BB35989E62}" cache="Timeline_sales_date" caption="sales_date" level="2" selectionLevel="2" scrollPosition="2025-08-14T00:00:00" style="TimeSlicerStyleDark1"/>
</timelines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microsoft.com/office/2011/relationships/timeline" Target="../timelines/timelin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1/relationships/timeline" Target="../timelines/timeline2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4B23A-7DA7-4991-91F3-A5670C6D81D9}">
  <dimension ref="A1:K110"/>
  <sheetViews>
    <sheetView showGridLines="0" tabSelected="1" zoomScale="47" zoomScaleNormal="66" workbookViewId="0">
      <selection activeCell="AE25" sqref="AE25"/>
    </sheetView>
  </sheetViews>
  <sheetFormatPr defaultColWidth="8.796875" defaultRowHeight="15.6" x14ac:dyDescent="0.3"/>
  <cols>
    <col min="1" max="1" width="26.296875" customWidth="1"/>
    <col min="2" max="2" width="8.69921875" customWidth="1"/>
    <col min="3" max="3" width="18.19921875" customWidth="1"/>
    <col min="4" max="4" width="10" customWidth="1"/>
  </cols>
  <sheetData>
    <row r="1" spans="1:11" ht="15.45" customHeight="1" x14ac:dyDescent="0.3">
      <c r="A1" s="14" t="s">
        <v>284</v>
      </c>
    </row>
    <row r="2" spans="1:11" x14ac:dyDescent="0.3">
      <c r="A2" s="14"/>
    </row>
    <row r="3" spans="1:11" x14ac:dyDescent="0.3">
      <c r="A3" s="14"/>
    </row>
    <row r="4" spans="1:11" x14ac:dyDescent="0.3">
      <c r="A4" s="15" t="s">
        <v>289</v>
      </c>
    </row>
    <row r="5" spans="1:11" x14ac:dyDescent="0.3">
      <c r="A5" s="16"/>
    </row>
    <row r="6" spans="1:11" x14ac:dyDescent="0.3">
      <c r="A6" s="17"/>
    </row>
    <row r="7" spans="1:11" ht="25.8" x14ac:dyDescent="0.3">
      <c r="C7" s="12">
        <f>GETPIVOTDATA("[Measures].[以下資料的總和: subtotal]",Summary!$B$1)</f>
        <v>8855.6299999999919</v>
      </c>
      <c r="D7" s="4"/>
      <c r="E7" s="4"/>
      <c r="F7" s="19">
        <f>GETPIVOTDATA("[Measures].[以下資料的項目個數: sales_id 2]",Summary!$B$1)</f>
        <v>200</v>
      </c>
      <c r="G7" s="19"/>
      <c r="H7" s="4"/>
      <c r="I7" s="4"/>
      <c r="J7" s="20">
        <f>GETPIVOTDATA("[Measures].[以下資料的平均值: subtotal]",Summary!$B$1)</f>
        <v>44.278149999999961</v>
      </c>
      <c r="K7" s="20"/>
    </row>
    <row r="28" spans="1:1" x14ac:dyDescent="0.3">
      <c r="A28" s="11"/>
    </row>
    <row r="29" spans="1:1" x14ac:dyDescent="0.3">
      <c r="A29" s="11"/>
    </row>
    <row r="30" spans="1:1" x14ac:dyDescent="0.3">
      <c r="A30" s="13" t="s">
        <v>290</v>
      </c>
    </row>
    <row r="31" spans="1:1" x14ac:dyDescent="0.3">
      <c r="A31" s="18"/>
    </row>
    <row r="32" spans="1:1" x14ac:dyDescent="0.3">
      <c r="A32" s="11"/>
    </row>
    <row r="33" spans="1:1" x14ac:dyDescent="0.3">
      <c r="A33" s="13" t="s">
        <v>291</v>
      </c>
    </row>
    <row r="34" spans="1:1" x14ac:dyDescent="0.3">
      <c r="A34" s="18"/>
    </row>
    <row r="35" spans="1:1" x14ac:dyDescent="0.3">
      <c r="A35" s="11"/>
    </row>
    <row r="36" spans="1:1" x14ac:dyDescent="0.3">
      <c r="A36" s="13" t="s">
        <v>292</v>
      </c>
    </row>
    <row r="37" spans="1:1" x14ac:dyDescent="0.3">
      <c r="A37" s="18"/>
    </row>
    <row r="38" spans="1:1" x14ac:dyDescent="0.3">
      <c r="A38" s="11"/>
    </row>
    <row r="39" spans="1:1" x14ac:dyDescent="0.3">
      <c r="A39" s="13" t="s">
        <v>293</v>
      </c>
    </row>
    <row r="40" spans="1:1" x14ac:dyDescent="0.3">
      <c r="A40" s="18"/>
    </row>
    <row r="41" spans="1:1" x14ac:dyDescent="0.3">
      <c r="A41" s="11"/>
    </row>
    <row r="42" spans="1:1" x14ac:dyDescent="0.3">
      <c r="A42" s="13" t="s">
        <v>294</v>
      </c>
    </row>
    <row r="43" spans="1:1" x14ac:dyDescent="0.3">
      <c r="A43" s="18"/>
    </row>
    <row r="44" spans="1:1" x14ac:dyDescent="0.3">
      <c r="A44" s="11"/>
    </row>
    <row r="110" spans="3:3" x14ac:dyDescent="0.3">
      <c r="C110" s="7">
        <f>GETPIVOTDATA("[Measures].[以下資料的總和: subtotal]",Summary!$B$1)</f>
        <v>8855.6299999999919</v>
      </c>
    </row>
  </sheetData>
  <mergeCells count="9">
    <mergeCell ref="J7:K7"/>
    <mergeCell ref="A30:A31"/>
    <mergeCell ref="A33:A34"/>
    <mergeCell ref="A36:A37"/>
    <mergeCell ref="A39:A40"/>
    <mergeCell ref="A42:A43"/>
    <mergeCell ref="A1:A3"/>
    <mergeCell ref="A4:A6"/>
    <mergeCell ref="F7:G7"/>
  </mergeCells>
  <hyperlinks>
    <hyperlink ref="A30:A31" location="Categories!A1" display="Data - Categories" xr:uid="{24952CCF-5C5D-4D1C-A8DD-D42A0353FD6A}"/>
    <hyperlink ref="A33:A34" location="Products!A1" display="Data - Products" xr:uid="{DFD86580-27AC-42C3-AD15-ABB20536D3F3}"/>
    <hyperlink ref="A36:A37" location="'Customers'!A1" display="Data - Customers" xr:uid="{42A38E68-4A35-409B-A4C3-09FF6D8BA6D2}"/>
    <hyperlink ref="A39:A40" location="Sales!A1" display="Data - Sales" xr:uid="{88D59FB7-4765-410E-8C01-7E1272664949}"/>
    <hyperlink ref="A42:A43" location="Sales_item!A1" display="Data - Sales_item" xr:uid="{2D17AFA0-2BDF-4BE9-BBBE-F526414FC0CA}"/>
    <hyperlink ref="A4:A6" location="Dashboard!A1" display="Dashboard" xr:uid="{A06C43ED-FDFE-4919-95B6-26EB4ED66E5A}"/>
  </hyperlink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  <ext xmlns:x15="http://schemas.microsoft.com/office/spreadsheetml/2010/11/main" uri="{7E03D99C-DC04-49d9-9315-930204A7B6E9}">
      <x15:timelineRefs>
        <x15:timelineRef r:id="rId4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4F9BB-0C77-4024-A53C-2007EA9CCE96}">
  <dimension ref="A1:C11"/>
  <sheetViews>
    <sheetView workbookViewId="0"/>
  </sheetViews>
  <sheetFormatPr defaultColWidth="8.796875" defaultRowHeight="15.6" x14ac:dyDescent="0.3"/>
  <cols>
    <col min="1" max="1" width="12.296875" bestFit="1" customWidth="1"/>
    <col min="2" max="2" width="20.296875" bestFit="1" customWidth="1"/>
    <col min="3" max="3" width="43.19921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 t="s">
        <v>4</v>
      </c>
    </row>
    <row r="3" spans="1:3" x14ac:dyDescent="0.3">
      <c r="A3">
        <v>2</v>
      </c>
      <c r="B3" t="s">
        <v>5</v>
      </c>
      <c r="C3" t="s">
        <v>6</v>
      </c>
    </row>
    <row r="4" spans="1:3" x14ac:dyDescent="0.3">
      <c r="A4">
        <v>3</v>
      </c>
      <c r="B4" t="s">
        <v>7</v>
      </c>
      <c r="C4" t="s">
        <v>8</v>
      </c>
    </row>
    <row r="5" spans="1:3" x14ac:dyDescent="0.3">
      <c r="A5">
        <v>4</v>
      </c>
      <c r="B5" t="s">
        <v>9</v>
      </c>
      <c r="C5" t="s">
        <v>10</v>
      </c>
    </row>
    <row r="6" spans="1:3" x14ac:dyDescent="0.3">
      <c r="A6">
        <v>5</v>
      </c>
      <c r="B6" t="s">
        <v>11</v>
      </c>
      <c r="C6" t="s">
        <v>12</v>
      </c>
    </row>
    <row r="7" spans="1:3" x14ac:dyDescent="0.3">
      <c r="A7">
        <v>6</v>
      </c>
      <c r="B7" t="s">
        <v>13</v>
      </c>
      <c r="C7" t="s">
        <v>14</v>
      </c>
    </row>
    <row r="8" spans="1:3" x14ac:dyDescent="0.3">
      <c r="A8">
        <v>7</v>
      </c>
      <c r="B8" t="s">
        <v>15</v>
      </c>
      <c r="C8" t="s">
        <v>16</v>
      </c>
    </row>
    <row r="9" spans="1:3" x14ac:dyDescent="0.3">
      <c r="A9">
        <v>8</v>
      </c>
      <c r="B9" t="s">
        <v>17</v>
      </c>
      <c r="C9" t="s">
        <v>18</v>
      </c>
    </row>
    <row r="10" spans="1:3" x14ac:dyDescent="0.3">
      <c r="A10">
        <v>9</v>
      </c>
      <c r="B10" t="s">
        <v>19</v>
      </c>
      <c r="C10" t="s">
        <v>20</v>
      </c>
    </row>
    <row r="11" spans="1:3" x14ac:dyDescent="0.3">
      <c r="A11">
        <v>10</v>
      </c>
      <c r="B11" t="s">
        <v>21</v>
      </c>
      <c r="C11" t="s">
        <v>22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C436C-D7C9-4228-A95E-8EF0A39B46A6}">
  <dimension ref="A1:F26"/>
  <sheetViews>
    <sheetView workbookViewId="0"/>
  </sheetViews>
  <sheetFormatPr defaultColWidth="8.796875" defaultRowHeight="15.6" x14ac:dyDescent="0.3"/>
  <cols>
    <col min="1" max="1" width="11.796875" bestFit="1" customWidth="1"/>
    <col min="2" max="2" width="22.19921875" bestFit="1" customWidth="1"/>
    <col min="3" max="3" width="14.69921875" bestFit="1" customWidth="1"/>
    <col min="4" max="4" width="14.796875" bestFit="1" customWidth="1"/>
    <col min="5" max="5" width="13.296875" bestFit="1" customWidth="1"/>
    <col min="6" max="6" width="12.296875" bestFit="1" customWidth="1"/>
  </cols>
  <sheetData>
    <row r="1" spans="1:6" x14ac:dyDescent="0.3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0</v>
      </c>
    </row>
    <row r="2" spans="1:6" x14ac:dyDescent="0.3">
      <c r="A2">
        <v>1</v>
      </c>
      <c r="B2" t="s">
        <v>146</v>
      </c>
      <c r="C2">
        <v>18.989999999999998</v>
      </c>
      <c r="D2">
        <v>48</v>
      </c>
      <c r="E2">
        <v>5105963504</v>
      </c>
      <c r="F2">
        <v>1</v>
      </c>
    </row>
    <row r="3" spans="1:6" x14ac:dyDescent="0.3">
      <c r="A3">
        <v>2</v>
      </c>
      <c r="B3" t="s">
        <v>147</v>
      </c>
      <c r="C3">
        <v>9.75</v>
      </c>
      <c r="D3">
        <v>28</v>
      </c>
      <c r="E3">
        <v>6439728210</v>
      </c>
      <c r="F3">
        <v>4</v>
      </c>
    </row>
    <row r="4" spans="1:6" x14ac:dyDescent="0.3">
      <c r="A4">
        <v>3</v>
      </c>
      <c r="B4" t="s">
        <v>148</v>
      </c>
      <c r="C4">
        <v>10.99</v>
      </c>
      <c r="D4">
        <v>34</v>
      </c>
      <c r="E4">
        <v>7759890095</v>
      </c>
      <c r="F4">
        <v>8</v>
      </c>
    </row>
    <row r="5" spans="1:6" x14ac:dyDescent="0.3">
      <c r="A5">
        <v>4</v>
      </c>
      <c r="B5" t="s">
        <v>149</v>
      </c>
      <c r="C5">
        <v>6.99</v>
      </c>
      <c r="D5">
        <v>11</v>
      </c>
      <c r="E5">
        <v>8407287911</v>
      </c>
      <c r="F5">
        <v>3</v>
      </c>
    </row>
    <row r="6" spans="1:6" x14ac:dyDescent="0.3">
      <c r="A6">
        <v>5</v>
      </c>
      <c r="B6" t="s">
        <v>150</v>
      </c>
      <c r="C6">
        <v>8.99</v>
      </c>
      <c r="D6">
        <v>56</v>
      </c>
      <c r="E6">
        <v>8387235318</v>
      </c>
      <c r="F6">
        <v>6</v>
      </c>
    </row>
    <row r="7" spans="1:6" x14ac:dyDescent="0.3">
      <c r="A7">
        <v>6</v>
      </c>
      <c r="B7" t="s">
        <v>151</v>
      </c>
      <c r="C7">
        <v>4.75</v>
      </c>
      <c r="D7">
        <v>23</v>
      </c>
      <c r="E7">
        <v>3798345171</v>
      </c>
      <c r="F7">
        <v>9</v>
      </c>
    </row>
    <row r="8" spans="1:6" x14ac:dyDescent="0.3">
      <c r="A8">
        <v>7</v>
      </c>
      <c r="B8" t="s">
        <v>152</v>
      </c>
      <c r="C8">
        <v>15.99</v>
      </c>
      <c r="D8">
        <v>59</v>
      </c>
      <c r="E8">
        <v>9245538672</v>
      </c>
      <c r="F8">
        <v>7</v>
      </c>
    </row>
    <row r="9" spans="1:6" x14ac:dyDescent="0.3">
      <c r="A9">
        <v>8</v>
      </c>
      <c r="B9" t="s">
        <v>153</v>
      </c>
      <c r="C9">
        <v>20.99</v>
      </c>
      <c r="D9">
        <v>23</v>
      </c>
      <c r="E9">
        <v>7969604870</v>
      </c>
      <c r="F9">
        <v>10</v>
      </c>
    </row>
    <row r="10" spans="1:6" x14ac:dyDescent="0.3">
      <c r="A10">
        <v>9</v>
      </c>
      <c r="B10" t="s">
        <v>154</v>
      </c>
      <c r="C10">
        <v>5.25</v>
      </c>
      <c r="D10">
        <v>44</v>
      </c>
      <c r="E10">
        <v>5768099042</v>
      </c>
      <c r="F10">
        <v>5</v>
      </c>
    </row>
    <row r="11" spans="1:6" x14ac:dyDescent="0.3">
      <c r="A11">
        <v>10</v>
      </c>
      <c r="B11" t="s">
        <v>155</v>
      </c>
      <c r="C11">
        <v>2.99</v>
      </c>
      <c r="D11">
        <v>54</v>
      </c>
      <c r="E11">
        <v>9554361424</v>
      </c>
      <c r="F11">
        <v>2</v>
      </c>
    </row>
    <row r="12" spans="1:6" x14ac:dyDescent="0.3">
      <c r="A12">
        <v>11</v>
      </c>
      <c r="B12" t="s">
        <v>28</v>
      </c>
      <c r="C12">
        <v>4.99</v>
      </c>
      <c r="D12">
        <v>65</v>
      </c>
      <c r="E12">
        <v>4827163950</v>
      </c>
      <c r="F12">
        <v>1</v>
      </c>
    </row>
    <row r="13" spans="1:6" x14ac:dyDescent="0.3">
      <c r="A13">
        <v>12</v>
      </c>
      <c r="B13" t="s">
        <v>29</v>
      </c>
      <c r="C13">
        <v>6.49</v>
      </c>
      <c r="D13">
        <v>48</v>
      </c>
      <c r="E13">
        <v>9071538264</v>
      </c>
      <c r="F13">
        <v>1</v>
      </c>
    </row>
    <row r="14" spans="1:6" x14ac:dyDescent="0.3">
      <c r="A14">
        <v>13</v>
      </c>
      <c r="B14" t="s">
        <v>30</v>
      </c>
      <c r="C14">
        <v>3.99</v>
      </c>
      <c r="D14">
        <v>72</v>
      </c>
      <c r="E14">
        <v>6148295703</v>
      </c>
      <c r="F14">
        <v>1</v>
      </c>
    </row>
    <row r="15" spans="1:6" x14ac:dyDescent="0.3">
      <c r="A15">
        <v>14</v>
      </c>
      <c r="B15" t="s">
        <v>31</v>
      </c>
      <c r="C15">
        <v>2.99</v>
      </c>
      <c r="D15">
        <v>90</v>
      </c>
      <c r="E15">
        <v>3580719426</v>
      </c>
      <c r="F15">
        <v>2</v>
      </c>
    </row>
    <row r="16" spans="1:6" x14ac:dyDescent="0.3">
      <c r="A16">
        <v>15</v>
      </c>
      <c r="B16" t="s">
        <v>32</v>
      </c>
      <c r="C16">
        <v>4.49</v>
      </c>
      <c r="D16">
        <v>55</v>
      </c>
      <c r="E16">
        <v>7914628035</v>
      </c>
      <c r="F16">
        <v>2</v>
      </c>
    </row>
    <row r="17" spans="1:6" x14ac:dyDescent="0.3">
      <c r="A17">
        <v>16</v>
      </c>
      <c r="B17" t="s">
        <v>33</v>
      </c>
      <c r="C17">
        <v>5.99</v>
      </c>
      <c r="D17">
        <v>40</v>
      </c>
      <c r="E17">
        <v>2059483716</v>
      </c>
      <c r="F17">
        <v>2</v>
      </c>
    </row>
    <row r="18" spans="1:6" x14ac:dyDescent="0.3">
      <c r="A18">
        <v>17</v>
      </c>
      <c r="B18" t="s">
        <v>34</v>
      </c>
      <c r="C18">
        <v>8.99</v>
      </c>
      <c r="D18">
        <v>25</v>
      </c>
      <c r="E18">
        <v>8635172049</v>
      </c>
      <c r="F18">
        <v>3</v>
      </c>
    </row>
    <row r="19" spans="1:6" x14ac:dyDescent="0.3">
      <c r="A19">
        <v>18</v>
      </c>
      <c r="B19" t="s">
        <v>35</v>
      </c>
      <c r="C19">
        <v>7.49</v>
      </c>
      <c r="D19">
        <v>30</v>
      </c>
      <c r="E19">
        <v>4702916853</v>
      </c>
      <c r="F19">
        <v>3</v>
      </c>
    </row>
    <row r="20" spans="1:6" x14ac:dyDescent="0.3">
      <c r="A20">
        <v>19</v>
      </c>
      <c r="B20" t="s">
        <v>36</v>
      </c>
      <c r="C20">
        <v>10.99</v>
      </c>
      <c r="D20">
        <v>35</v>
      </c>
      <c r="E20">
        <v>1526389740</v>
      </c>
      <c r="F20">
        <v>4</v>
      </c>
    </row>
    <row r="21" spans="1:6" x14ac:dyDescent="0.3">
      <c r="A21">
        <v>20</v>
      </c>
      <c r="B21" t="s">
        <v>37</v>
      </c>
      <c r="C21">
        <v>6.99</v>
      </c>
      <c r="D21">
        <v>42</v>
      </c>
      <c r="E21">
        <v>9843702156</v>
      </c>
      <c r="F21">
        <v>4</v>
      </c>
    </row>
    <row r="22" spans="1:6" x14ac:dyDescent="0.3">
      <c r="A22">
        <v>21</v>
      </c>
      <c r="B22" t="s">
        <v>38</v>
      </c>
      <c r="C22">
        <v>5.49</v>
      </c>
      <c r="D22">
        <v>60</v>
      </c>
      <c r="E22">
        <v>3265917480</v>
      </c>
      <c r="F22">
        <v>5</v>
      </c>
    </row>
    <row r="23" spans="1:6" x14ac:dyDescent="0.3">
      <c r="A23">
        <v>22</v>
      </c>
      <c r="B23" t="s">
        <v>39</v>
      </c>
      <c r="C23">
        <v>12.99</v>
      </c>
      <c r="D23">
        <v>38</v>
      </c>
      <c r="E23">
        <v>7410859326</v>
      </c>
      <c r="F23">
        <v>5</v>
      </c>
    </row>
    <row r="24" spans="1:6" x14ac:dyDescent="0.3">
      <c r="A24">
        <v>23</v>
      </c>
      <c r="B24" t="s">
        <v>40</v>
      </c>
      <c r="C24">
        <v>4.99</v>
      </c>
      <c r="D24">
        <v>70</v>
      </c>
      <c r="E24">
        <v>5692148073</v>
      </c>
      <c r="F24">
        <v>6</v>
      </c>
    </row>
    <row r="25" spans="1:6" x14ac:dyDescent="0.3">
      <c r="A25">
        <v>24</v>
      </c>
      <c r="B25" t="s">
        <v>41</v>
      </c>
      <c r="C25">
        <v>9.99</v>
      </c>
      <c r="D25">
        <v>50</v>
      </c>
      <c r="E25">
        <v>8106735249</v>
      </c>
      <c r="F25">
        <v>7</v>
      </c>
    </row>
    <row r="26" spans="1:6" x14ac:dyDescent="0.3">
      <c r="A26">
        <v>25</v>
      </c>
      <c r="B26" t="s">
        <v>42</v>
      </c>
      <c r="C26">
        <v>3.99</v>
      </c>
      <c r="D26">
        <v>85</v>
      </c>
      <c r="E26">
        <v>2439581760</v>
      </c>
      <c r="F26">
        <v>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C78B9-7505-41E6-9660-D4C82CACB3B0}">
  <dimension ref="A1:D51"/>
  <sheetViews>
    <sheetView workbookViewId="0"/>
  </sheetViews>
  <sheetFormatPr defaultColWidth="8.796875" defaultRowHeight="15.6" x14ac:dyDescent="0.3"/>
  <cols>
    <col min="1" max="1" width="13.19921875" bestFit="1" customWidth="1"/>
    <col min="2" max="2" width="16.296875" bestFit="1" customWidth="1"/>
    <col min="3" max="3" width="57.796875" bestFit="1" customWidth="1"/>
    <col min="4" max="4" width="19.296875" bestFit="1" customWidth="1"/>
  </cols>
  <sheetData>
    <row r="1" spans="1:4" x14ac:dyDescent="0.3">
      <c r="A1" t="s">
        <v>43</v>
      </c>
      <c r="B1" t="s">
        <v>44</v>
      </c>
      <c r="C1" t="s">
        <v>45</v>
      </c>
      <c r="D1" t="s">
        <v>46</v>
      </c>
    </row>
    <row r="2" spans="1:4" x14ac:dyDescent="0.3">
      <c r="A2">
        <v>1</v>
      </c>
      <c r="B2" t="s">
        <v>156</v>
      </c>
      <c r="C2" t="s">
        <v>157</v>
      </c>
      <c r="D2" s="1">
        <v>45370</v>
      </c>
    </row>
    <row r="3" spans="1:4" x14ac:dyDescent="0.3">
      <c r="A3">
        <v>2</v>
      </c>
      <c r="B3" t="s">
        <v>158</v>
      </c>
      <c r="C3" t="s">
        <v>159</v>
      </c>
      <c r="D3" s="1">
        <v>45900</v>
      </c>
    </row>
    <row r="4" spans="1:4" x14ac:dyDescent="0.3">
      <c r="A4">
        <v>3</v>
      </c>
      <c r="B4" t="s">
        <v>160</v>
      </c>
      <c r="C4" t="s">
        <v>161</v>
      </c>
      <c r="D4" s="1">
        <v>45988</v>
      </c>
    </row>
    <row r="5" spans="1:4" x14ac:dyDescent="0.3">
      <c r="A5">
        <v>4</v>
      </c>
      <c r="B5" t="s">
        <v>162</v>
      </c>
      <c r="C5" t="s">
        <v>163</v>
      </c>
      <c r="D5" s="1">
        <v>45768</v>
      </c>
    </row>
    <row r="6" spans="1:4" x14ac:dyDescent="0.3">
      <c r="A6">
        <v>5</v>
      </c>
      <c r="B6" t="s">
        <v>164</v>
      </c>
      <c r="C6" t="s">
        <v>165</v>
      </c>
      <c r="D6" s="1">
        <v>45654</v>
      </c>
    </row>
    <row r="7" spans="1:4" x14ac:dyDescent="0.3">
      <c r="A7">
        <v>6</v>
      </c>
      <c r="B7" t="s">
        <v>47</v>
      </c>
      <c r="C7" t="s">
        <v>48</v>
      </c>
      <c r="D7" s="1">
        <v>45309</v>
      </c>
    </row>
    <row r="8" spans="1:4" x14ac:dyDescent="0.3">
      <c r="A8">
        <v>7</v>
      </c>
      <c r="B8" t="s">
        <v>49</v>
      </c>
      <c r="C8" t="s">
        <v>50</v>
      </c>
      <c r="D8" s="1">
        <v>45045</v>
      </c>
    </row>
    <row r="9" spans="1:4" x14ac:dyDescent="0.3">
      <c r="A9">
        <v>8</v>
      </c>
      <c r="B9" t="s">
        <v>51</v>
      </c>
      <c r="C9" t="s">
        <v>52</v>
      </c>
      <c r="D9" s="1">
        <v>45638</v>
      </c>
    </row>
    <row r="10" spans="1:4" x14ac:dyDescent="0.3">
      <c r="A10">
        <v>9</v>
      </c>
      <c r="B10" t="s">
        <v>53</v>
      </c>
      <c r="C10" t="s">
        <v>54</v>
      </c>
      <c r="D10" s="1">
        <v>45634</v>
      </c>
    </row>
    <row r="11" spans="1:4" x14ac:dyDescent="0.3">
      <c r="A11">
        <v>10</v>
      </c>
      <c r="B11" t="s">
        <v>55</v>
      </c>
      <c r="C11" t="s">
        <v>56</v>
      </c>
      <c r="D11" s="1">
        <v>45674</v>
      </c>
    </row>
    <row r="12" spans="1:4" x14ac:dyDescent="0.3">
      <c r="A12">
        <v>11</v>
      </c>
      <c r="B12" t="s">
        <v>57</v>
      </c>
      <c r="C12" t="s">
        <v>58</v>
      </c>
      <c r="D12" s="1">
        <v>45814</v>
      </c>
    </row>
    <row r="13" spans="1:4" x14ac:dyDescent="0.3">
      <c r="A13">
        <v>12</v>
      </c>
      <c r="B13" t="s">
        <v>59</v>
      </c>
      <c r="C13" t="s">
        <v>60</v>
      </c>
      <c r="D13" s="1">
        <v>45038</v>
      </c>
    </row>
    <row r="14" spans="1:4" x14ac:dyDescent="0.3">
      <c r="A14">
        <v>13</v>
      </c>
      <c r="B14" t="s">
        <v>61</v>
      </c>
      <c r="C14" t="s">
        <v>62</v>
      </c>
      <c r="D14" s="1">
        <v>45055</v>
      </c>
    </row>
    <row r="15" spans="1:4" x14ac:dyDescent="0.3">
      <c r="A15">
        <v>14</v>
      </c>
      <c r="B15" t="s">
        <v>63</v>
      </c>
      <c r="C15" t="s">
        <v>64</v>
      </c>
      <c r="D15" s="1">
        <v>45953</v>
      </c>
    </row>
    <row r="16" spans="1:4" x14ac:dyDescent="0.3">
      <c r="A16">
        <v>15</v>
      </c>
      <c r="B16" t="s">
        <v>65</v>
      </c>
      <c r="C16" t="s">
        <v>66</v>
      </c>
      <c r="D16" s="1">
        <v>45165</v>
      </c>
    </row>
    <row r="17" spans="1:4" x14ac:dyDescent="0.3">
      <c r="A17">
        <v>16</v>
      </c>
      <c r="B17" t="s">
        <v>67</v>
      </c>
      <c r="C17" t="s">
        <v>68</v>
      </c>
      <c r="D17" s="1">
        <v>44959</v>
      </c>
    </row>
    <row r="18" spans="1:4" x14ac:dyDescent="0.3">
      <c r="A18">
        <v>17</v>
      </c>
      <c r="B18" t="s">
        <v>69</v>
      </c>
      <c r="C18" t="s">
        <v>70</v>
      </c>
      <c r="D18" s="1">
        <v>44973</v>
      </c>
    </row>
    <row r="19" spans="1:4" x14ac:dyDescent="0.3">
      <c r="A19">
        <v>18</v>
      </c>
      <c r="B19" t="s">
        <v>71</v>
      </c>
      <c r="C19" t="s">
        <v>72</v>
      </c>
      <c r="D19" s="1">
        <v>45677</v>
      </c>
    </row>
    <row r="20" spans="1:4" x14ac:dyDescent="0.3">
      <c r="A20">
        <v>19</v>
      </c>
      <c r="B20" t="s">
        <v>73</v>
      </c>
      <c r="C20" t="s">
        <v>74</v>
      </c>
      <c r="D20" s="1">
        <v>46060</v>
      </c>
    </row>
    <row r="21" spans="1:4" x14ac:dyDescent="0.3">
      <c r="A21">
        <v>20</v>
      </c>
      <c r="B21" t="s">
        <v>75</v>
      </c>
      <c r="C21" t="s">
        <v>76</v>
      </c>
      <c r="D21" s="1">
        <v>45156</v>
      </c>
    </row>
    <row r="22" spans="1:4" x14ac:dyDescent="0.3">
      <c r="A22">
        <v>21</v>
      </c>
      <c r="B22" t="s">
        <v>77</v>
      </c>
      <c r="C22" t="s">
        <v>78</v>
      </c>
      <c r="D22" s="1">
        <v>44949</v>
      </c>
    </row>
    <row r="23" spans="1:4" x14ac:dyDescent="0.3">
      <c r="A23">
        <v>22</v>
      </c>
      <c r="B23" t="s">
        <v>79</v>
      </c>
      <c r="C23" t="s">
        <v>80</v>
      </c>
      <c r="D23" s="1">
        <v>46123</v>
      </c>
    </row>
    <row r="24" spans="1:4" x14ac:dyDescent="0.3">
      <c r="A24">
        <v>23</v>
      </c>
      <c r="B24" t="s">
        <v>81</v>
      </c>
      <c r="C24" t="s">
        <v>82</v>
      </c>
      <c r="D24" s="1">
        <v>45656</v>
      </c>
    </row>
    <row r="25" spans="1:4" x14ac:dyDescent="0.3">
      <c r="A25">
        <v>24</v>
      </c>
      <c r="B25" t="s">
        <v>83</v>
      </c>
      <c r="C25" t="s">
        <v>84</v>
      </c>
      <c r="D25" s="1">
        <v>45471</v>
      </c>
    </row>
    <row r="26" spans="1:4" x14ac:dyDescent="0.3">
      <c r="A26">
        <v>25</v>
      </c>
      <c r="B26" t="s">
        <v>85</v>
      </c>
      <c r="C26" t="s">
        <v>86</v>
      </c>
      <c r="D26" s="1">
        <v>45095</v>
      </c>
    </row>
    <row r="27" spans="1:4" x14ac:dyDescent="0.3">
      <c r="A27">
        <v>26</v>
      </c>
      <c r="B27" t="s">
        <v>87</v>
      </c>
      <c r="C27" t="s">
        <v>88</v>
      </c>
      <c r="D27" s="1">
        <v>45339</v>
      </c>
    </row>
    <row r="28" spans="1:4" x14ac:dyDescent="0.3">
      <c r="A28">
        <v>27</v>
      </c>
      <c r="B28" t="s">
        <v>89</v>
      </c>
      <c r="C28" t="s">
        <v>90</v>
      </c>
      <c r="D28" s="1">
        <v>45639</v>
      </c>
    </row>
    <row r="29" spans="1:4" x14ac:dyDescent="0.3">
      <c r="A29">
        <v>28</v>
      </c>
      <c r="B29" t="s">
        <v>91</v>
      </c>
      <c r="C29" t="s">
        <v>92</v>
      </c>
      <c r="D29" s="1">
        <v>46088</v>
      </c>
    </row>
    <row r="30" spans="1:4" x14ac:dyDescent="0.3">
      <c r="A30">
        <v>29</v>
      </c>
      <c r="B30" t="s">
        <v>93</v>
      </c>
      <c r="C30" t="s">
        <v>94</v>
      </c>
      <c r="D30" s="1">
        <v>45858</v>
      </c>
    </row>
    <row r="31" spans="1:4" x14ac:dyDescent="0.3">
      <c r="A31">
        <v>30</v>
      </c>
      <c r="B31" t="s">
        <v>95</v>
      </c>
      <c r="C31" t="s">
        <v>96</v>
      </c>
      <c r="D31" s="1">
        <v>45494</v>
      </c>
    </row>
    <row r="32" spans="1:4" x14ac:dyDescent="0.3">
      <c r="A32">
        <v>31</v>
      </c>
      <c r="B32" t="s">
        <v>97</v>
      </c>
      <c r="C32" t="s">
        <v>98</v>
      </c>
      <c r="D32" s="1">
        <v>45503</v>
      </c>
    </row>
    <row r="33" spans="1:4" x14ac:dyDescent="0.3">
      <c r="A33">
        <v>32</v>
      </c>
      <c r="B33" t="s">
        <v>99</v>
      </c>
      <c r="C33" t="s">
        <v>100</v>
      </c>
      <c r="D33" s="1">
        <v>46080</v>
      </c>
    </row>
    <row r="34" spans="1:4" x14ac:dyDescent="0.3">
      <c r="A34">
        <v>33</v>
      </c>
      <c r="B34" t="s">
        <v>101</v>
      </c>
      <c r="C34" t="s">
        <v>102</v>
      </c>
      <c r="D34" s="1">
        <v>45371</v>
      </c>
    </row>
    <row r="35" spans="1:4" x14ac:dyDescent="0.3">
      <c r="A35">
        <v>34</v>
      </c>
      <c r="B35" t="s">
        <v>103</v>
      </c>
      <c r="C35" t="s">
        <v>104</v>
      </c>
      <c r="D35" s="1">
        <v>45785</v>
      </c>
    </row>
    <row r="36" spans="1:4" x14ac:dyDescent="0.3">
      <c r="A36">
        <v>35</v>
      </c>
      <c r="B36" t="s">
        <v>105</v>
      </c>
      <c r="C36" t="s">
        <v>106</v>
      </c>
      <c r="D36" s="1">
        <v>45364</v>
      </c>
    </row>
    <row r="37" spans="1:4" x14ac:dyDescent="0.3">
      <c r="A37">
        <v>36</v>
      </c>
      <c r="B37" t="s">
        <v>107</v>
      </c>
      <c r="C37" t="s">
        <v>108</v>
      </c>
      <c r="D37" s="1">
        <v>45169</v>
      </c>
    </row>
    <row r="38" spans="1:4" x14ac:dyDescent="0.3">
      <c r="A38">
        <v>37</v>
      </c>
      <c r="B38" t="s">
        <v>109</v>
      </c>
      <c r="C38" t="s">
        <v>110</v>
      </c>
      <c r="D38" s="1">
        <v>45456</v>
      </c>
    </row>
    <row r="39" spans="1:4" x14ac:dyDescent="0.3">
      <c r="A39">
        <v>38</v>
      </c>
      <c r="B39" t="s">
        <v>111</v>
      </c>
      <c r="C39" t="s">
        <v>112</v>
      </c>
      <c r="D39" s="1">
        <v>45169</v>
      </c>
    </row>
    <row r="40" spans="1:4" x14ac:dyDescent="0.3">
      <c r="A40">
        <v>39</v>
      </c>
      <c r="B40" t="s">
        <v>113</v>
      </c>
      <c r="C40" t="s">
        <v>114</v>
      </c>
      <c r="D40" s="1">
        <v>45732</v>
      </c>
    </row>
    <row r="41" spans="1:4" x14ac:dyDescent="0.3">
      <c r="A41">
        <v>40</v>
      </c>
      <c r="B41" t="s">
        <v>115</v>
      </c>
      <c r="C41" t="s">
        <v>116</v>
      </c>
      <c r="D41" s="1">
        <v>45030</v>
      </c>
    </row>
    <row r="42" spans="1:4" x14ac:dyDescent="0.3">
      <c r="A42">
        <v>41</v>
      </c>
      <c r="B42" t="s">
        <v>117</v>
      </c>
      <c r="C42" t="s">
        <v>118</v>
      </c>
      <c r="D42" s="1">
        <v>45801</v>
      </c>
    </row>
    <row r="43" spans="1:4" x14ac:dyDescent="0.3">
      <c r="A43">
        <v>42</v>
      </c>
      <c r="B43" t="s">
        <v>119</v>
      </c>
      <c r="C43" t="s">
        <v>120</v>
      </c>
      <c r="D43" s="1">
        <v>45388</v>
      </c>
    </row>
    <row r="44" spans="1:4" x14ac:dyDescent="0.3">
      <c r="A44">
        <v>43</v>
      </c>
      <c r="B44" t="s">
        <v>121</v>
      </c>
      <c r="C44" t="s">
        <v>122</v>
      </c>
      <c r="D44" s="1">
        <v>45828</v>
      </c>
    </row>
    <row r="45" spans="1:4" x14ac:dyDescent="0.3">
      <c r="A45">
        <v>44</v>
      </c>
      <c r="B45" t="s">
        <v>123</v>
      </c>
      <c r="C45" t="s">
        <v>124</v>
      </c>
      <c r="D45" s="1">
        <v>45949</v>
      </c>
    </row>
    <row r="46" spans="1:4" x14ac:dyDescent="0.3">
      <c r="A46">
        <v>45</v>
      </c>
      <c r="B46" t="s">
        <v>125</v>
      </c>
      <c r="C46" t="s">
        <v>126</v>
      </c>
      <c r="D46" s="1">
        <v>45180</v>
      </c>
    </row>
    <row r="47" spans="1:4" x14ac:dyDescent="0.3">
      <c r="A47">
        <v>46</v>
      </c>
      <c r="B47" t="s">
        <v>127</v>
      </c>
      <c r="C47" t="s">
        <v>128</v>
      </c>
      <c r="D47" s="1">
        <v>46070</v>
      </c>
    </row>
    <row r="48" spans="1:4" x14ac:dyDescent="0.3">
      <c r="A48">
        <v>47</v>
      </c>
      <c r="B48" t="s">
        <v>129</v>
      </c>
      <c r="C48" t="s">
        <v>130</v>
      </c>
      <c r="D48" s="1">
        <v>45183</v>
      </c>
    </row>
    <row r="49" spans="1:4" x14ac:dyDescent="0.3">
      <c r="A49">
        <v>48</v>
      </c>
      <c r="B49" t="s">
        <v>131</v>
      </c>
      <c r="C49" t="s">
        <v>132</v>
      </c>
      <c r="D49" s="1">
        <v>45047</v>
      </c>
    </row>
    <row r="50" spans="1:4" x14ac:dyDescent="0.3">
      <c r="A50">
        <v>49</v>
      </c>
      <c r="B50" t="s">
        <v>133</v>
      </c>
      <c r="C50" t="s">
        <v>134</v>
      </c>
      <c r="D50" s="1">
        <v>45449</v>
      </c>
    </row>
    <row r="51" spans="1:4" x14ac:dyDescent="0.3">
      <c r="A51">
        <v>50</v>
      </c>
      <c r="B51" t="s">
        <v>135</v>
      </c>
      <c r="C51" t="s">
        <v>136</v>
      </c>
      <c r="D51" s="1">
        <v>45773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C5ADF-E739-4196-80AA-C46EE0E21CF6}">
  <dimension ref="A1:F101"/>
  <sheetViews>
    <sheetView workbookViewId="0">
      <selection activeCell="E13" sqref="E13"/>
    </sheetView>
  </sheetViews>
  <sheetFormatPr defaultColWidth="8.796875" defaultRowHeight="15.6" x14ac:dyDescent="0.3"/>
  <cols>
    <col min="1" max="1" width="9.69921875" bestFit="1" customWidth="1"/>
    <col min="2" max="2" width="11.69921875" bestFit="1" customWidth="1"/>
    <col min="3" max="4" width="13.19921875" bestFit="1" customWidth="1"/>
    <col min="5" max="5" width="11.69921875" style="5" bestFit="1" customWidth="1"/>
    <col min="6" max="6" width="7" bestFit="1" customWidth="1"/>
  </cols>
  <sheetData>
    <row r="1" spans="1:6" x14ac:dyDescent="0.3">
      <c r="A1" t="s">
        <v>137</v>
      </c>
      <c r="B1" t="s">
        <v>138</v>
      </c>
      <c r="C1" t="s">
        <v>43</v>
      </c>
      <c r="D1" t="s">
        <v>139</v>
      </c>
      <c r="E1" s="5" t="s">
        <v>281</v>
      </c>
      <c r="F1" t="s">
        <v>283</v>
      </c>
    </row>
    <row r="2" spans="1:6" x14ac:dyDescent="0.3">
      <c r="A2">
        <v>1</v>
      </c>
      <c r="B2" s="1">
        <v>46065</v>
      </c>
      <c r="C2">
        <v>5</v>
      </c>
      <c r="D2" t="s">
        <v>142</v>
      </c>
      <c r="E2" s="6" t="s">
        <v>184</v>
      </c>
      <c r="F2">
        <f>HOUR(Sales[[#This Row],[sales_time]])</f>
        <v>9</v>
      </c>
    </row>
    <row r="3" spans="1:6" x14ac:dyDescent="0.3">
      <c r="A3">
        <v>2</v>
      </c>
      <c r="B3" s="1">
        <v>45916</v>
      </c>
      <c r="C3">
        <v>2</v>
      </c>
      <c r="D3" t="s">
        <v>140</v>
      </c>
      <c r="E3" s="6" t="s">
        <v>185</v>
      </c>
      <c r="F3">
        <f>HOUR(Sales[[#This Row],[sales_time]])</f>
        <v>13</v>
      </c>
    </row>
    <row r="4" spans="1:6" x14ac:dyDescent="0.3">
      <c r="A4">
        <v>3</v>
      </c>
      <c r="B4" s="1">
        <v>46107</v>
      </c>
      <c r="C4">
        <v>1</v>
      </c>
      <c r="D4" t="s">
        <v>143</v>
      </c>
      <c r="E4" s="6" t="s">
        <v>186</v>
      </c>
      <c r="F4">
        <f>HOUR(Sales[[#This Row],[sales_time]])</f>
        <v>10</v>
      </c>
    </row>
    <row r="5" spans="1:6" x14ac:dyDescent="0.3">
      <c r="A5">
        <v>4</v>
      </c>
      <c r="B5" s="1">
        <v>46113</v>
      </c>
      <c r="C5">
        <v>4</v>
      </c>
      <c r="D5" t="s">
        <v>141</v>
      </c>
      <c r="E5" s="6" t="s">
        <v>187</v>
      </c>
      <c r="F5">
        <f>HOUR(Sales[[#This Row],[sales_time]])</f>
        <v>15</v>
      </c>
    </row>
    <row r="6" spans="1:6" x14ac:dyDescent="0.3">
      <c r="A6">
        <v>5</v>
      </c>
      <c r="B6" s="1">
        <v>45790</v>
      </c>
      <c r="C6">
        <v>3</v>
      </c>
      <c r="D6" t="s">
        <v>140</v>
      </c>
      <c r="E6" s="6" t="s">
        <v>188</v>
      </c>
      <c r="F6">
        <f>HOUR(Sales[[#This Row],[sales_time]])</f>
        <v>13</v>
      </c>
    </row>
    <row r="7" spans="1:6" x14ac:dyDescent="0.3">
      <c r="A7">
        <v>6</v>
      </c>
      <c r="B7" s="1">
        <v>45298</v>
      </c>
      <c r="C7">
        <v>47</v>
      </c>
      <c r="D7" t="s">
        <v>140</v>
      </c>
      <c r="E7" s="6" t="s">
        <v>189</v>
      </c>
      <c r="F7">
        <f>HOUR(Sales[[#This Row],[sales_time]])</f>
        <v>10</v>
      </c>
    </row>
    <row r="8" spans="1:6" x14ac:dyDescent="0.3">
      <c r="A8">
        <v>7</v>
      </c>
      <c r="B8" s="1">
        <v>45317</v>
      </c>
      <c r="C8">
        <v>10</v>
      </c>
      <c r="D8" t="s">
        <v>140</v>
      </c>
      <c r="E8" s="6" t="s">
        <v>190</v>
      </c>
      <c r="F8">
        <f>HOUR(Sales[[#This Row],[sales_time]])</f>
        <v>9</v>
      </c>
    </row>
    <row r="9" spans="1:6" x14ac:dyDescent="0.3">
      <c r="A9">
        <v>8</v>
      </c>
      <c r="B9" s="1">
        <v>45319</v>
      </c>
      <c r="C9">
        <v>44</v>
      </c>
      <c r="D9" t="s">
        <v>140</v>
      </c>
      <c r="E9" s="6" t="s">
        <v>191</v>
      </c>
      <c r="F9">
        <f>HOUR(Sales[[#This Row],[sales_time]])</f>
        <v>15</v>
      </c>
    </row>
    <row r="10" spans="1:6" x14ac:dyDescent="0.3">
      <c r="A10">
        <v>9</v>
      </c>
      <c r="B10" s="1">
        <v>45322</v>
      </c>
      <c r="C10">
        <v>46</v>
      </c>
      <c r="D10" t="s">
        <v>140</v>
      </c>
      <c r="E10" s="6" t="s">
        <v>192</v>
      </c>
      <c r="F10">
        <f>HOUR(Sales[[#This Row],[sales_time]])</f>
        <v>18</v>
      </c>
    </row>
    <row r="11" spans="1:6" x14ac:dyDescent="0.3">
      <c r="A11">
        <v>10</v>
      </c>
      <c r="B11" s="1">
        <v>45324</v>
      </c>
      <c r="C11">
        <v>16</v>
      </c>
      <c r="D11" t="s">
        <v>140</v>
      </c>
      <c r="E11" s="6" t="s">
        <v>193</v>
      </c>
      <c r="F11">
        <f>HOUR(Sales[[#This Row],[sales_time]])</f>
        <v>18</v>
      </c>
    </row>
    <row r="12" spans="1:6" x14ac:dyDescent="0.3">
      <c r="A12">
        <v>11</v>
      </c>
      <c r="B12" s="1">
        <v>45336</v>
      </c>
      <c r="C12">
        <v>40</v>
      </c>
      <c r="D12" t="s">
        <v>140</v>
      </c>
      <c r="E12" s="6" t="s">
        <v>194</v>
      </c>
      <c r="F12">
        <f>HOUR(Sales[[#This Row],[sales_time]])</f>
        <v>14</v>
      </c>
    </row>
    <row r="13" spans="1:6" x14ac:dyDescent="0.3">
      <c r="A13">
        <v>12</v>
      </c>
      <c r="B13" s="1">
        <v>45338</v>
      </c>
      <c r="C13">
        <v>21</v>
      </c>
      <c r="D13" t="s">
        <v>140</v>
      </c>
      <c r="E13" s="6" t="s">
        <v>195</v>
      </c>
      <c r="F13">
        <f>HOUR(Sales[[#This Row],[sales_time]])</f>
        <v>14</v>
      </c>
    </row>
    <row r="14" spans="1:6" x14ac:dyDescent="0.3">
      <c r="A14">
        <v>13</v>
      </c>
      <c r="B14" s="1">
        <v>45363</v>
      </c>
      <c r="C14">
        <v>16</v>
      </c>
      <c r="D14" t="s">
        <v>140</v>
      </c>
      <c r="E14" s="6" t="s">
        <v>184</v>
      </c>
      <c r="F14">
        <f>HOUR(Sales[[#This Row],[sales_time]])</f>
        <v>9</v>
      </c>
    </row>
    <row r="15" spans="1:6" x14ac:dyDescent="0.3">
      <c r="A15">
        <v>14</v>
      </c>
      <c r="B15" s="1">
        <v>45372</v>
      </c>
      <c r="C15">
        <v>35</v>
      </c>
      <c r="D15" t="s">
        <v>140</v>
      </c>
      <c r="E15" s="6" t="s">
        <v>196</v>
      </c>
      <c r="F15">
        <f>HOUR(Sales[[#This Row],[sales_time]])</f>
        <v>11</v>
      </c>
    </row>
    <row r="16" spans="1:6" x14ac:dyDescent="0.3">
      <c r="A16">
        <v>15</v>
      </c>
      <c r="B16" s="1">
        <v>45373</v>
      </c>
      <c r="C16">
        <v>30</v>
      </c>
      <c r="D16" t="s">
        <v>140</v>
      </c>
      <c r="E16" s="6" t="s">
        <v>197</v>
      </c>
      <c r="F16">
        <f>HOUR(Sales[[#This Row],[sales_time]])</f>
        <v>11</v>
      </c>
    </row>
    <row r="17" spans="1:6" x14ac:dyDescent="0.3">
      <c r="A17">
        <v>16</v>
      </c>
      <c r="B17" s="1">
        <v>45381</v>
      </c>
      <c r="C17">
        <v>23</v>
      </c>
      <c r="D17" t="s">
        <v>140</v>
      </c>
      <c r="E17" s="6" t="s">
        <v>198</v>
      </c>
      <c r="F17">
        <f>HOUR(Sales[[#This Row],[sales_time]])</f>
        <v>14</v>
      </c>
    </row>
    <row r="18" spans="1:6" x14ac:dyDescent="0.3">
      <c r="A18">
        <v>17</v>
      </c>
      <c r="B18" s="1">
        <v>45386</v>
      </c>
      <c r="C18">
        <v>46</v>
      </c>
      <c r="D18" t="s">
        <v>140</v>
      </c>
      <c r="E18" s="6" t="s">
        <v>199</v>
      </c>
      <c r="F18">
        <f>HOUR(Sales[[#This Row],[sales_time]])</f>
        <v>18</v>
      </c>
    </row>
    <row r="19" spans="1:6" x14ac:dyDescent="0.3">
      <c r="A19">
        <v>18</v>
      </c>
      <c r="B19" s="1">
        <v>45387</v>
      </c>
      <c r="C19">
        <v>50</v>
      </c>
      <c r="D19" t="s">
        <v>140</v>
      </c>
      <c r="E19" s="6" t="s">
        <v>200</v>
      </c>
      <c r="F19">
        <f>HOUR(Sales[[#This Row],[sales_time]])</f>
        <v>14</v>
      </c>
    </row>
    <row r="20" spans="1:6" x14ac:dyDescent="0.3">
      <c r="A20">
        <v>19</v>
      </c>
      <c r="B20" s="1">
        <v>45391</v>
      </c>
      <c r="C20">
        <v>41</v>
      </c>
      <c r="D20" t="s">
        <v>140</v>
      </c>
      <c r="E20" s="6" t="s">
        <v>201</v>
      </c>
      <c r="F20">
        <f>HOUR(Sales[[#This Row],[sales_time]])</f>
        <v>20</v>
      </c>
    </row>
    <row r="21" spans="1:6" x14ac:dyDescent="0.3">
      <c r="A21">
        <v>20</v>
      </c>
      <c r="B21" s="1">
        <v>45395</v>
      </c>
      <c r="C21">
        <v>20</v>
      </c>
      <c r="D21" t="s">
        <v>140</v>
      </c>
      <c r="E21" s="6" t="s">
        <v>202</v>
      </c>
      <c r="F21">
        <f>HOUR(Sales[[#This Row],[sales_time]])</f>
        <v>13</v>
      </c>
    </row>
    <row r="22" spans="1:6" x14ac:dyDescent="0.3">
      <c r="A22">
        <v>21</v>
      </c>
      <c r="B22" s="1">
        <v>45396</v>
      </c>
      <c r="C22">
        <v>49</v>
      </c>
      <c r="D22" t="s">
        <v>140</v>
      </c>
      <c r="E22" s="6" t="s">
        <v>203</v>
      </c>
      <c r="F22">
        <f>HOUR(Sales[[#This Row],[sales_time]])</f>
        <v>11</v>
      </c>
    </row>
    <row r="23" spans="1:6" x14ac:dyDescent="0.3">
      <c r="A23">
        <v>22</v>
      </c>
      <c r="B23" s="1">
        <v>45396</v>
      </c>
      <c r="C23">
        <v>26</v>
      </c>
      <c r="D23" t="s">
        <v>140</v>
      </c>
      <c r="E23" s="6" t="s">
        <v>204</v>
      </c>
      <c r="F23">
        <f>HOUR(Sales[[#This Row],[sales_time]])</f>
        <v>9</v>
      </c>
    </row>
    <row r="24" spans="1:6" x14ac:dyDescent="0.3">
      <c r="A24">
        <v>23</v>
      </c>
      <c r="B24" s="1">
        <v>45406</v>
      </c>
      <c r="C24">
        <v>9</v>
      </c>
      <c r="D24" t="s">
        <v>140</v>
      </c>
      <c r="E24" s="6" t="s">
        <v>205</v>
      </c>
      <c r="F24">
        <f>HOUR(Sales[[#This Row],[sales_time]])</f>
        <v>16</v>
      </c>
    </row>
    <row r="25" spans="1:6" x14ac:dyDescent="0.3">
      <c r="A25">
        <v>24</v>
      </c>
      <c r="B25" s="1">
        <v>45419</v>
      </c>
      <c r="C25">
        <v>20</v>
      </c>
      <c r="D25" t="s">
        <v>140</v>
      </c>
      <c r="E25" s="6" t="s">
        <v>186</v>
      </c>
      <c r="F25">
        <f>HOUR(Sales[[#This Row],[sales_time]])</f>
        <v>10</v>
      </c>
    </row>
    <row r="26" spans="1:6" x14ac:dyDescent="0.3">
      <c r="A26">
        <v>25</v>
      </c>
      <c r="B26" s="1">
        <v>45434</v>
      </c>
      <c r="C26">
        <v>8</v>
      </c>
      <c r="D26" t="s">
        <v>140</v>
      </c>
      <c r="E26" s="6" t="s">
        <v>206</v>
      </c>
      <c r="F26">
        <f>HOUR(Sales[[#This Row],[sales_time]])</f>
        <v>19</v>
      </c>
    </row>
    <row r="27" spans="1:6" x14ac:dyDescent="0.3">
      <c r="A27">
        <v>26</v>
      </c>
      <c r="B27" s="1">
        <v>45451</v>
      </c>
      <c r="C27">
        <v>26</v>
      </c>
      <c r="D27" t="s">
        <v>140</v>
      </c>
      <c r="E27" s="6" t="s">
        <v>207</v>
      </c>
      <c r="F27">
        <f>HOUR(Sales[[#This Row],[sales_time]])</f>
        <v>15</v>
      </c>
    </row>
    <row r="28" spans="1:6" x14ac:dyDescent="0.3">
      <c r="A28">
        <v>27</v>
      </c>
      <c r="B28" s="1">
        <v>45455</v>
      </c>
      <c r="C28">
        <v>31</v>
      </c>
      <c r="D28" t="s">
        <v>140</v>
      </c>
      <c r="E28" s="6" t="s">
        <v>208</v>
      </c>
      <c r="F28">
        <f>HOUR(Sales[[#This Row],[sales_time]])</f>
        <v>10</v>
      </c>
    </row>
    <row r="29" spans="1:6" x14ac:dyDescent="0.3">
      <c r="A29">
        <v>28</v>
      </c>
      <c r="B29" s="1">
        <v>45458</v>
      </c>
      <c r="C29">
        <v>23</v>
      </c>
      <c r="D29" t="s">
        <v>140</v>
      </c>
      <c r="E29" s="6" t="s">
        <v>209</v>
      </c>
      <c r="F29">
        <f>HOUR(Sales[[#This Row],[sales_time]])</f>
        <v>9</v>
      </c>
    </row>
    <row r="30" spans="1:6" x14ac:dyDescent="0.3">
      <c r="A30">
        <v>29</v>
      </c>
      <c r="B30" s="1">
        <v>45488</v>
      </c>
      <c r="C30">
        <v>10</v>
      </c>
      <c r="D30" t="s">
        <v>140</v>
      </c>
      <c r="E30" s="6" t="s">
        <v>210</v>
      </c>
      <c r="F30">
        <f>HOUR(Sales[[#This Row],[sales_time]])</f>
        <v>14</v>
      </c>
    </row>
    <row r="31" spans="1:6" x14ac:dyDescent="0.3">
      <c r="A31">
        <v>30</v>
      </c>
      <c r="B31" s="1">
        <v>45495</v>
      </c>
      <c r="C31">
        <v>19</v>
      </c>
      <c r="D31" t="s">
        <v>140</v>
      </c>
      <c r="E31" s="6" t="s">
        <v>211</v>
      </c>
      <c r="F31">
        <f>HOUR(Sales[[#This Row],[sales_time]])</f>
        <v>16</v>
      </c>
    </row>
    <row r="32" spans="1:6" x14ac:dyDescent="0.3">
      <c r="A32">
        <v>31</v>
      </c>
      <c r="B32" s="1">
        <v>45506</v>
      </c>
      <c r="C32">
        <v>42</v>
      </c>
      <c r="D32" t="s">
        <v>140</v>
      </c>
      <c r="E32" s="6" t="s">
        <v>212</v>
      </c>
      <c r="F32">
        <f>HOUR(Sales[[#This Row],[sales_time]])</f>
        <v>10</v>
      </c>
    </row>
    <row r="33" spans="1:6" x14ac:dyDescent="0.3">
      <c r="A33">
        <v>32</v>
      </c>
      <c r="B33" s="1">
        <v>45512</v>
      </c>
      <c r="C33">
        <v>26</v>
      </c>
      <c r="D33" t="s">
        <v>140</v>
      </c>
      <c r="E33" s="6" t="s">
        <v>213</v>
      </c>
      <c r="F33">
        <f>HOUR(Sales[[#This Row],[sales_time]])</f>
        <v>9</v>
      </c>
    </row>
    <row r="34" spans="1:6" x14ac:dyDescent="0.3">
      <c r="A34">
        <v>33</v>
      </c>
      <c r="B34" s="1">
        <v>45515</v>
      </c>
      <c r="C34">
        <v>19</v>
      </c>
      <c r="D34" t="s">
        <v>140</v>
      </c>
      <c r="E34" s="6" t="s">
        <v>214</v>
      </c>
      <c r="F34">
        <f>HOUR(Sales[[#This Row],[sales_time]])</f>
        <v>10</v>
      </c>
    </row>
    <row r="35" spans="1:6" x14ac:dyDescent="0.3">
      <c r="A35">
        <v>34</v>
      </c>
      <c r="B35" s="1">
        <v>45517</v>
      </c>
      <c r="C35">
        <v>47</v>
      </c>
      <c r="D35" t="s">
        <v>140</v>
      </c>
      <c r="E35" s="6" t="s">
        <v>215</v>
      </c>
      <c r="F35">
        <f>HOUR(Sales[[#This Row],[sales_time]])</f>
        <v>20</v>
      </c>
    </row>
    <row r="36" spans="1:6" x14ac:dyDescent="0.3">
      <c r="A36">
        <v>35</v>
      </c>
      <c r="B36" s="1">
        <v>45520</v>
      </c>
      <c r="C36">
        <v>37</v>
      </c>
      <c r="D36" t="s">
        <v>140</v>
      </c>
      <c r="E36" s="6" t="s">
        <v>216</v>
      </c>
      <c r="F36">
        <f>HOUR(Sales[[#This Row],[sales_time]])</f>
        <v>11</v>
      </c>
    </row>
    <row r="37" spans="1:6" x14ac:dyDescent="0.3">
      <c r="A37">
        <v>36</v>
      </c>
      <c r="B37" s="1">
        <v>45525</v>
      </c>
      <c r="C37">
        <v>31</v>
      </c>
      <c r="D37" t="s">
        <v>141</v>
      </c>
      <c r="E37" s="6" t="s">
        <v>217</v>
      </c>
      <c r="F37">
        <f>HOUR(Sales[[#This Row],[sales_time]])</f>
        <v>11</v>
      </c>
    </row>
    <row r="38" spans="1:6" x14ac:dyDescent="0.3">
      <c r="A38">
        <v>37</v>
      </c>
      <c r="B38" s="1">
        <v>45530</v>
      </c>
      <c r="C38">
        <v>47</v>
      </c>
      <c r="D38" t="s">
        <v>140</v>
      </c>
      <c r="E38" s="6" t="s">
        <v>218</v>
      </c>
      <c r="F38">
        <f>HOUR(Sales[[#This Row],[sales_time]])</f>
        <v>9</v>
      </c>
    </row>
    <row r="39" spans="1:6" x14ac:dyDescent="0.3">
      <c r="A39">
        <v>38</v>
      </c>
      <c r="B39" s="1">
        <v>45530</v>
      </c>
      <c r="C39">
        <v>22</v>
      </c>
      <c r="D39" t="s">
        <v>142</v>
      </c>
      <c r="E39" s="6" t="s">
        <v>219</v>
      </c>
      <c r="F39">
        <f>HOUR(Sales[[#This Row],[sales_time]])</f>
        <v>13</v>
      </c>
    </row>
    <row r="40" spans="1:6" x14ac:dyDescent="0.3">
      <c r="A40">
        <v>39</v>
      </c>
      <c r="B40" s="1">
        <v>45542</v>
      </c>
      <c r="C40">
        <v>41</v>
      </c>
      <c r="D40" t="s">
        <v>140</v>
      </c>
      <c r="E40" s="6" t="s">
        <v>220</v>
      </c>
      <c r="F40">
        <f>HOUR(Sales[[#This Row],[sales_time]])</f>
        <v>16</v>
      </c>
    </row>
    <row r="41" spans="1:6" x14ac:dyDescent="0.3">
      <c r="A41">
        <v>40</v>
      </c>
      <c r="B41" s="1">
        <v>45562</v>
      </c>
      <c r="C41">
        <v>43</v>
      </c>
      <c r="D41" t="s">
        <v>140</v>
      </c>
      <c r="E41" s="6" t="s">
        <v>221</v>
      </c>
      <c r="F41">
        <f>HOUR(Sales[[#This Row],[sales_time]])</f>
        <v>18</v>
      </c>
    </row>
    <row r="42" spans="1:6" x14ac:dyDescent="0.3">
      <c r="A42">
        <v>41</v>
      </c>
      <c r="B42" s="1">
        <v>45565</v>
      </c>
      <c r="C42">
        <v>43</v>
      </c>
      <c r="D42" t="s">
        <v>140</v>
      </c>
      <c r="E42" s="6" t="s">
        <v>222</v>
      </c>
      <c r="F42">
        <f>HOUR(Sales[[#This Row],[sales_time]])</f>
        <v>17</v>
      </c>
    </row>
    <row r="43" spans="1:6" x14ac:dyDescent="0.3">
      <c r="A43">
        <v>42</v>
      </c>
      <c r="B43" s="1">
        <v>45573</v>
      </c>
      <c r="C43">
        <v>20</v>
      </c>
      <c r="D43" t="s">
        <v>141</v>
      </c>
      <c r="E43" s="6" t="s">
        <v>223</v>
      </c>
      <c r="F43">
        <f>HOUR(Sales[[#This Row],[sales_time]])</f>
        <v>13</v>
      </c>
    </row>
    <row r="44" spans="1:6" x14ac:dyDescent="0.3">
      <c r="A44">
        <v>43</v>
      </c>
      <c r="B44" s="1">
        <v>45576</v>
      </c>
      <c r="C44">
        <v>14</v>
      </c>
      <c r="D44" t="s">
        <v>140</v>
      </c>
      <c r="E44" s="6" t="s">
        <v>224</v>
      </c>
      <c r="F44">
        <f>HOUR(Sales[[#This Row],[sales_time]])</f>
        <v>17</v>
      </c>
    </row>
    <row r="45" spans="1:6" x14ac:dyDescent="0.3">
      <c r="A45">
        <v>44</v>
      </c>
      <c r="B45" s="1">
        <v>45576</v>
      </c>
      <c r="C45">
        <v>11</v>
      </c>
      <c r="D45" t="s">
        <v>143</v>
      </c>
      <c r="E45" s="6" t="s">
        <v>225</v>
      </c>
      <c r="F45">
        <f>HOUR(Sales[[#This Row],[sales_time]])</f>
        <v>9</v>
      </c>
    </row>
    <row r="46" spans="1:6" x14ac:dyDescent="0.3">
      <c r="A46">
        <v>45</v>
      </c>
      <c r="B46" s="1">
        <v>45576</v>
      </c>
      <c r="C46">
        <v>13</v>
      </c>
      <c r="D46" t="s">
        <v>142</v>
      </c>
      <c r="E46" s="6" t="s">
        <v>226</v>
      </c>
      <c r="F46">
        <f>HOUR(Sales[[#This Row],[sales_time]])</f>
        <v>14</v>
      </c>
    </row>
    <row r="47" spans="1:6" x14ac:dyDescent="0.3">
      <c r="A47">
        <v>46</v>
      </c>
      <c r="B47" s="1">
        <v>45588</v>
      </c>
      <c r="C47">
        <v>16</v>
      </c>
      <c r="D47" t="s">
        <v>143</v>
      </c>
      <c r="E47" s="6" t="s">
        <v>227</v>
      </c>
      <c r="F47">
        <f>HOUR(Sales[[#This Row],[sales_time]])</f>
        <v>14</v>
      </c>
    </row>
    <row r="48" spans="1:6" x14ac:dyDescent="0.3">
      <c r="A48">
        <v>47</v>
      </c>
      <c r="B48" s="1">
        <v>45592</v>
      </c>
      <c r="C48">
        <v>33</v>
      </c>
      <c r="D48" t="s">
        <v>140</v>
      </c>
      <c r="E48" s="6" t="s">
        <v>228</v>
      </c>
      <c r="F48">
        <f>HOUR(Sales[[#This Row],[sales_time]])</f>
        <v>17</v>
      </c>
    </row>
    <row r="49" spans="1:6" x14ac:dyDescent="0.3">
      <c r="A49">
        <v>48</v>
      </c>
      <c r="B49" s="1">
        <v>45636</v>
      </c>
      <c r="C49">
        <v>30</v>
      </c>
      <c r="D49" t="s">
        <v>140</v>
      </c>
      <c r="E49" s="6" t="s">
        <v>229</v>
      </c>
      <c r="F49">
        <f>HOUR(Sales[[#This Row],[sales_time]])</f>
        <v>17</v>
      </c>
    </row>
    <row r="50" spans="1:6" x14ac:dyDescent="0.3">
      <c r="A50">
        <v>49</v>
      </c>
      <c r="B50" s="1">
        <v>45640</v>
      </c>
      <c r="C50">
        <v>35</v>
      </c>
      <c r="D50" t="s">
        <v>140</v>
      </c>
      <c r="E50" s="6" t="s">
        <v>230</v>
      </c>
      <c r="F50">
        <f>HOUR(Sales[[#This Row],[sales_time]])</f>
        <v>12</v>
      </c>
    </row>
    <row r="51" spans="1:6" x14ac:dyDescent="0.3">
      <c r="A51">
        <v>50</v>
      </c>
      <c r="B51" s="1">
        <v>45644</v>
      </c>
      <c r="C51">
        <v>41</v>
      </c>
      <c r="D51" t="s">
        <v>141</v>
      </c>
      <c r="E51" s="6" t="s">
        <v>231</v>
      </c>
      <c r="F51">
        <f>HOUR(Sales[[#This Row],[sales_time]])</f>
        <v>19</v>
      </c>
    </row>
    <row r="52" spans="1:6" x14ac:dyDescent="0.3">
      <c r="A52">
        <v>51</v>
      </c>
      <c r="B52" s="1">
        <v>45655</v>
      </c>
      <c r="C52">
        <v>6</v>
      </c>
      <c r="D52" t="s">
        <v>140</v>
      </c>
      <c r="E52" s="6" t="s">
        <v>232</v>
      </c>
      <c r="F52">
        <f>HOUR(Sales[[#This Row],[sales_time]])</f>
        <v>19</v>
      </c>
    </row>
    <row r="53" spans="1:6" x14ac:dyDescent="0.3">
      <c r="A53">
        <v>52</v>
      </c>
      <c r="B53" s="1">
        <v>45659</v>
      </c>
      <c r="C53">
        <v>13</v>
      </c>
      <c r="D53" t="s">
        <v>140</v>
      </c>
      <c r="E53" s="6" t="s">
        <v>233</v>
      </c>
      <c r="F53">
        <f>HOUR(Sales[[#This Row],[sales_time]])</f>
        <v>17</v>
      </c>
    </row>
    <row r="54" spans="1:6" x14ac:dyDescent="0.3">
      <c r="A54">
        <v>53</v>
      </c>
      <c r="B54" s="1">
        <v>45662</v>
      </c>
      <c r="C54">
        <v>40</v>
      </c>
      <c r="D54" t="s">
        <v>143</v>
      </c>
      <c r="E54" s="6" t="s">
        <v>234</v>
      </c>
      <c r="F54">
        <f>HOUR(Sales[[#This Row],[sales_time]])</f>
        <v>18</v>
      </c>
    </row>
    <row r="55" spans="1:6" x14ac:dyDescent="0.3">
      <c r="A55">
        <v>54</v>
      </c>
      <c r="B55" s="1">
        <v>45665</v>
      </c>
      <c r="C55">
        <v>47</v>
      </c>
      <c r="D55" t="s">
        <v>140</v>
      </c>
      <c r="E55" s="6" t="s">
        <v>235</v>
      </c>
      <c r="F55">
        <f>HOUR(Sales[[#This Row],[sales_time]])</f>
        <v>14</v>
      </c>
    </row>
    <row r="56" spans="1:6" x14ac:dyDescent="0.3">
      <c r="A56">
        <v>55</v>
      </c>
      <c r="B56" s="1">
        <v>45671</v>
      </c>
      <c r="C56">
        <v>24</v>
      </c>
      <c r="D56" t="s">
        <v>140</v>
      </c>
      <c r="E56" s="6" t="s">
        <v>236</v>
      </c>
      <c r="F56">
        <f>HOUR(Sales[[#This Row],[sales_time]])</f>
        <v>9</v>
      </c>
    </row>
    <row r="57" spans="1:6" x14ac:dyDescent="0.3">
      <c r="A57">
        <v>56</v>
      </c>
      <c r="B57" s="1">
        <v>45679</v>
      </c>
      <c r="C57">
        <v>35</v>
      </c>
      <c r="D57" t="s">
        <v>142</v>
      </c>
      <c r="E57" s="6" t="s">
        <v>237</v>
      </c>
      <c r="F57">
        <f>HOUR(Sales[[#This Row],[sales_time]])</f>
        <v>15</v>
      </c>
    </row>
    <row r="58" spans="1:6" x14ac:dyDescent="0.3">
      <c r="A58">
        <v>57</v>
      </c>
      <c r="B58" s="1">
        <v>45681</v>
      </c>
      <c r="C58">
        <v>22</v>
      </c>
      <c r="D58" t="s">
        <v>141</v>
      </c>
      <c r="E58" s="6" t="s">
        <v>238</v>
      </c>
      <c r="F58">
        <f>HOUR(Sales[[#This Row],[sales_time]])</f>
        <v>20</v>
      </c>
    </row>
    <row r="59" spans="1:6" x14ac:dyDescent="0.3">
      <c r="A59">
        <v>58</v>
      </c>
      <c r="B59" s="1">
        <v>45681</v>
      </c>
      <c r="C59">
        <v>17</v>
      </c>
      <c r="D59" t="s">
        <v>140</v>
      </c>
      <c r="E59" s="6" t="s">
        <v>239</v>
      </c>
      <c r="F59">
        <f>HOUR(Sales[[#This Row],[sales_time]])</f>
        <v>17</v>
      </c>
    </row>
    <row r="60" spans="1:6" x14ac:dyDescent="0.3">
      <c r="A60">
        <v>59</v>
      </c>
      <c r="B60" s="1">
        <v>45721</v>
      </c>
      <c r="C60">
        <v>12</v>
      </c>
      <c r="D60" t="s">
        <v>141</v>
      </c>
      <c r="E60" s="6" t="s">
        <v>240</v>
      </c>
      <c r="F60">
        <f>HOUR(Sales[[#This Row],[sales_time]])</f>
        <v>16</v>
      </c>
    </row>
    <row r="61" spans="1:6" x14ac:dyDescent="0.3">
      <c r="A61">
        <v>60</v>
      </c>
      <c r="B61" s="1">
        <v>45724</v>
      </c>
      <c r="C61">
        <v>25</v>
      </c>
      <c r="D61" t="s">
        <v>141</v>
      </c>
      <c r="E61" s="6" t="s">
        <v>241</v>
      </c>
      <c r="F61">
        <f>HOUR(Sales[[#This Row],[sales_time]])</f>
        <v>20</v>
      </c>
    </row>
    <row r="62" spans="1:6" x14ac:dyDescent="0.3">
      <c r="A62">
        <v>61</v>
      </c>
      <c r="B62" s="1">
        <v>45724</v>
      </c>
      <c r="C62">
        <v>38</v>
      </c>
      <c r="D62" t="s">
        <v>140</v>
      </c>
      <c r="E62" s="6" t="s">
        <v>242</v>
      </c>
      <c r="F62">
        <f>HOUR(Sales[[#This Row],[sales_time]])</f>
        <v>18</v>
      </c>
    </row>
    <row r="63" spans="1:6" x14ac:dyDescent="0.3">
      <c r="A63">
        <v>62</v>
      </c>
      <c r="B63" s="1">
        <v>45751</v>
      </c>
      <c r="C63">
        <v>15</v>
      </c>
      <c r="D63" t="s">
        <v>140</v>
      </c>
      <c r="E63" s="6" t="s">
        <v>243</v>
      </c>
      <c r="F63">
        <f>HOUR(Sales[[#This Row],[sales_time]])</f>
        <v>19</v>
      </c>
    </row>
    <row r="64" spans="1:6" x14ac:dyDescent="0.3">
      <c r="A64">
        <v>63</v>
      </c>
      <c r="B64" s="1">
        <v>45756</v>
      </c>
      <c r="C64">
        <v>16</v>
      </c>
      <c r="D64" t="s">
        <v>140</v>
      </c>
      <c r="E64" s="6" t="s">
        <v>244</v>
      </c>
      <c r="F64">
        <f>HOUR(Sales[[#This Row],[sales_time]])</f>
        <v>20</v>
      </c>
    </row>
    <row r="65" spans="1:6" x14ac:dyDescent="0.3">
      <c r="A65">
        <v>64</v>
      </c>
      <c r="B65" s="1">
        <v>45762</v>
      </c>
      <c r="C65">
        <v>39</v>
      </c>
      <c r="D65" t="s">
        <v>141</v>
      </c>
      <c r="E65" s="6" t="s">
        <v>245</v>
      </c>
      <c r="F65">
        <f>HOUR(Sales[[#This Row],[sales_time]])</f>
        <v>19</v>
      </c>
    </row>
    <row r="66" spans="1:6" x14ac:dyDescent="0.3">
      <c r="A66">
        <v>65</v>
      </c>
      <c r="B66" s="1">
        <v>45809</v>
      </c>
      <c r="C66">
        <v>44</v>
      </c>
      <c r="D66" t="s">
        <v>140</v>
      </c>
      <c r="E66" s="6" t="s">
        <v>246</v>
      </c>
      <c r="F66">
        <f>HOUR(Sales[[#This Row],[sales_time]])</f>
        <v>17</v>
      </c>
    </row>
    <row r="67" spans="1:6" x14ac:dyDescent="0.3">
      <c r="A67">
        <v>66</v>
      </c>
      <c r="B67" s="1">
        <v>45841</v>
      </c>
      <c r="C67">
        <v>7</v>
      </c>
      <c r="D67" t="s">
        <v>142</v>
      </c>
      <c r="E67" s="6" t="s">
        <v>247</v>
      </c>
      <c r="F67">
        <f>HOUR(Sales[[#This Row],[sales_time]])</f>
        <v>17</v>
      </c>
    </row>
    <row r="68" spans="1:6" x14ac:dyDescent="0.3">
      <c r="A68">
        <v>67</v>
      </c>
      <c r="B68" s="1">
        <v>45850</v>
      </c>
      <c r="C68">
        <v>29</v>
      </c>
      <c r="D68" t="s">
        <v>141</v>
      </c>
      <c r="E68" s="6" t="s">
        <v>248</v>
      </c>
      <c r="F68">
        <f>HOUR(Sales[[#This Row],[sales_time]])</f>
        <v>20</v>
      </c>
    </row>
    <row r="69" spans="1:6" x14ac:dyDescent="0.3">
      <c r="A69">
        <v>68</v>
      </c>
      <c r="B69" s="1">
        <v>45850</v>
      </c>
      <c r="C69">
        <v>25</v>
      </c>
      <c r="D69" t="s">
        <v>140</v>
      </c>
      <c r="E69" s="6" t="s">
        <v>249</v>
      </c>
      <c r="F69">
        <f>HOUR(Sales[[#This Row],[sales_time]])</f>
        <v>16</v>
      </c>
    </row>
    <row r="70" spans="1:6" x14ac:dyDescent="0.3">
      <c r="A70">
        <v>69</v>
      </c>
      <c r="B70" s="1">
        <v>45857</v>
      </c>
      <c r="C70">
        <v>21</v>
      </c>
      <c r="D70" t="s">
        <v>141</v>
      </c>
      <c r="E70" s="6" t="s">
        <v>250</v>
      </c>
      <c r="F70">
        <f>HOUR(Sales[[#This Row],[sales_time]])</f>
        <v>15</v>
      </c>
    </row>
    <row r="71" spans="1:6" x14ac:dyDescent="0.3">
      <c r="A71">
        <v>70</v>
      </c>
      <c r="B71" s="1">
        <v>45866</v>
      </c>
      <c r="C71">
        <v>11</v>
      </c>
      <c r="D71" t="s">
        <v>142</v>
      </c>
      <c r="E71" s="6" t="s">
        <v>251</v>
      </c>
      <c r="F71">
        <f>HOUR(Sales[[#This Row],[sales_time]])</f>
        <v>17</v>
      </c>
    </row>
    <row r="72" spans="1:6" x14ac:dyDescent="0.3">
      <c r="A72">
        <v>71</v>
      </c>
      <c r="B72" s="1">
        <v>45883</v>
      </c>
      <c r="C72">
        <v>37</v>
      </c>
      <c r="D72" t="s">
        <v>143</v>
      </c>
      <c r="E72" s="6" t="s">
        <v>252</v>
      </c>
      <c r="F72">
        <f>HOUR(Sales[[#This Row],[sales_time]])</f>
        <v>9</v>
      </c>
    </row>
    <row r="73" spans="1:6" x14ac:dyDescent="0.3">
      <c r="A73">
        <v>72</v>
      </c>
      <c r="B73" s="1">
        <v>45895</v>
      </c>
      <c r="C73">
        <v>40</v>
      </c>
      <c r="D73" t="s">
        <v>143</v>
      </c>
      <c r="E73" s="6" t="s">
        <v>253</v>
      </c>
      <c r="F73">
        <f>HOUR(Sales[[#This Row],[sales_time]])</f>
        <v>20</v>
      </c>
    </row>
    <row r="74" spans="1:6" x14ac:dyDescent="0.3">
      <c r="A74">
        <v>73</v>
      </c>
      <c r="B74" s="1">
        <v>45896</v>
      </c>
      <c r="C74">
        <v>14</v>
      </c>
      <c r="D74" t="s">
        <v>140</v>
      </c>
      <c r="E74" s="6" t="s">
        <v>254</v>
      </c>
      <c r="F74">
        <f>HOUR(Sales[[#This Row],[sales_time]])</f>
        <v>12</v>
      </c>
    </row>
    <row r="75" spans="1:6" x14ac:dyDescent="0.3">
      <c r="A75">
        <v>74</v>
      </c>
      <c r="B75" s="1">
        <v>45908</v>
      </c>
      <c r="C75">
        <v>41</v>
      </c>
      <c r="D75" t="s">
        <v>142</v>
      </c>
      <c r="E75" s="6" t="s">
        <v>255</v>
      </c>
      <c r="F75">
        <f>HOUR(Sales[[#This Row],[sales_time]])</f>
        <v>10</v>
      </c>
    </row>
    <row r="76" spans="1:6" x14ac:dyDescent="0.3">
      <c r="A76">
        <v>75</v>
      </c>
      <c r="B76" s="1">
        <v>45910</v>
      </c>
      <c r="C76">
        <v>39</v>
      </c>
      <c r="D76" t="s">
        <v>141</v>
      </c>
      <c r="E76" s="6" t="s">
        <v>256</v>
      </c>
      <c r="F76">
        <f>HOUR(Sales[[#This Row],[sales_time]])</f>
        <v>17</v>
      </c>
    </row>
    <row r="77" spans="1:6" x14ac:dyDescent="0.3">
      <c r="A77">
        <v>76</v>
      </c>
      <c r="B77" s="1">
        <v>45925</v>
      </c>
      <c r="C77">
        <v>33</v>
      </c>
      <c r="D77" t="s">
        <v>141</v>
      </c>
      <c r="E77" s="6" t="s">
        <v>257</v>
      </c>
      <c r="F77">
        <f>HOUR(Sales[[#This Row],[sales_time]])</f>
        <v>20</v>
      </c>
    </row>
    <row r="78" spans="1:6" x14ac:dyDescent="0.3">
      <c r="A78">
        <v>77</v>
      </c>
      <c r="B78" s="1">
        <v>45935</v>
      </c>
      <c r="C78">
        <v>40</v>
      </c>
      <c r="D78" t="s">
        <v>143</v>
      </c>
      <c r="E78" s="6" t="s">
        <v>258</v>
      </c>
      <c r="F78">
        <f>HOUR(Sales[[#This Row],[sales_time]])</f>
        <v>13</v>
      </c>
    </row>
    <row r="79" spans="1:6" x14ac:dyDescent="0.3">
      <c r="A79">
        <v>78</v>
      </c>
      <c r="B79" s="1">
        <v>45942</v>
      </c>
      <c r="C79">
        <v>50</v>
      </c>
      <c r="D79" t="s">
        <v>140</v>
      </c>
      <c r="E79" s="6" t="s">
        <v>259</v>
      </c>
      <c r="F79">
        <f>HOUR(Sales[[#This Row],[sales_time]])</f>
        <v>11</v>
      </c>
    </row>
    <row r="80" spans="1:6" x14ac:dyDescent="0.3">
      <c r="A80">
        <v>79</v>
      </c>
      <c r="B80" s="1">
        <v>45946</v>
      </c>
      <c r="C80">
        <v>25</v>
      </c>
      <c r="D80" t="s">
        <v>140</v>
      </c>
      <c r="E80" s="6" t="s">
        <v>260</v>
      </c>
      <c r="F80">
        <f>HOUR(Sales[[#This Row],[sales_time]])</f>
        <v>14</v>
      </c>
    </row>
    <row r="81" spans="1:6" x14ac:dyDescent="0.3">
      <c r="A81">
        <v>80</v>
      </c>
      <c r="B81" s="1">
        <v>45957</v>
      </c>
      <c r="C81">
        <v>48</v>
      </c>
      <c r="D81" t="s">
        <v>140</v>
      </c>
      <c r="E81" s="6" t="s">
        <v>198</v>
      </c>
      <c r="F81">
        <f>HOUR(Sales[[#This Row],[sales_time]])</f>
        <v>14</v>
      </c>
    </row>
    <row r="82" spans="1:6" x14ac:dyDescent="0.3">
      <c r="A82">
        <v>81</v>
      </c>
      <c r="B82" s="1">
        <v>45969</v>
      </c>
      <c r="C82">
        <v>34</v>
      </c>
      <c r="D82" t="s">
        <v>141</v>
      </c>
      <c r="E82" s="6" t="s">
        <v>261</v>
      </c>
      <c r="F82">
        <f>HOUR(Sales[[#This Row],[sales_time]])</f>
        <v>18</v>
      </c>
    </row>
    <row r="83" spans="1:6" x14ac:dyDescent="0.3">
      <c r="A83">
        <v>82</v>
      </c>
      <c r="B83" s="1">
        <v>45978</v>
      </c>
      <c r="C83">
        <v>34</v>
      </c>
      <c r="D83" t="s">
        <v>142</v>
      </c>
      <c r="E83" s="6" t="s">
        <v>262</v>
      </c>
      <c r="F83">
        <f>HOUR(Sales[[#This Row],[sales_time]])</f>
        <v>15</v>
      </c>
    </row>
    <row r="84" spans="1:6" x14ac:dyDescent="0.3">
      <c r="A84">
        <v>83</v>
      </c>
      <c r="B84" s="1">
        <v>45984</v>
      </c>
      <c r="C84">
        <v>20</v>
      </c>
      <c r="D84" t="s">
        <v>142</v>
      </c>
      <c r="E84" s="6" t="s">
        <v>263</v>
      </c>
      <c r="F84">
        <f>HOUR(Sales[[#This Row],[sales_time]])</f>
        <v>10</v>
      </c>
    </row>
    <row r="85" spans="1:6" x14ac:dyDescent="0.3">
      <c r="A85">
        <v>84</v>
      </c>
      <c r="B85" s="1">
        <v>45991</v>
      </c>
      <c r="C85">
        <v>7</v>
      </c>
      <c r="D85" t="s">
        <v>140</v>
      </c>
      <c r="E85" s="6" t="s">
        <v>264</v>
      </c>
      <c r="F85">
        <f>HOUR(Sales[[#This Row],[sales_time]])</f>
        <v>16</v>
      </c>
    </row>
    <row r="86" spans="1:6" x14ac:dyDescent="0.3">
      <c r="A86">
        <v>85</v>
      </c>
      <c r="B86" s="1">
        <v>46006</v>
      </c>
      <c r="C86">
        <v>20</v>
      </c>
      <c r="D86" t="s">
        <v>140</v>
      </c>
      <c r="E86" s="6" t="s">
        <v>265</v>
      </c>
      <c r="F86">
        <f>HOUR(Sales[[#This Row],[sales_time]])</f>
        <v>15</v>
      </c>
    </row>
    <row r="87" spans="1:6" x14ac:dyDescent="0.3">
      <c r="A87">
        <v>86</v>
      </c>
      <c r="B87" s="1">
        <v>46010</v>
      </c>
      <c r="C87">
        <v>6</v>
      </c>
      <c r="D87" t="s">
        <v>142</v>
      </c>
      <c r="E87" s="6" t="s">
        <v>266</v>
      </c>
      <c r="F87">
        <f>HOUR(Sales[[#This Row],[sales_time]])</f>
        <v>18</v>
      </c>
    </row>
    <row r="88" spans="1:6" x14ac:dyDescent="0.3">
      <c r="A88">
        <v>87</v>
      </c>
      <c r="B88" s="1">
        <v>46010</v>
      </c>
      <c r="C88">
        <v>46</v>
      </c>
      <c r="D88" t="s">
        <v>142</v>
      </c>
      <c r="E88" s="6" t="s">
        <v>267</v>
      </c>
      <c r="F88">
        <f>HOUR(Sales[[#This Row],[sales_time]])</f>
        <v>14</v>
      </c>
    </row>
    <row r="89" spans="1:6" x14ac:dyDescent="0.3">
      <c r="A89">
        <v>88</v>
      </c>
      <c r="B89" s="1">
        <v>46013</v>
      </c>
      <c r="C89">
        <v>10</v>
      </c>
      <c r="D89" t="s">
        <v>141</v>
      </c>
      <c r="E89" s="6" t="s">
        <v>268</v>
      </c>
      <c r="F89">
        <f>HOUR(Sales[[#This Row],[sales_time]])</f>
        <v>9</v>
      </c>
    </row>
    <row r="90" spans="1:6" x14ac:dyDescent="0.3">
      <c r="A90">
        <v>89</v>
      </c>
      <c r="B90" s="1">
        <v>46025</v>
      </c>
      <c r="C90">
        <v>27</v>
      </c>
      <c r="D90" t="s">
        <v>142</v>
      </c>
      <c r="E90" s="6" t="s">
        <v>269</v>
      </c>
      <c r="F90">
        <f>HOUR(Sales[[#This Row],[sales_time]])</f>
        <v>12</v>
      </c>
    </row>
    <row r="91" spans="1:6" x14ac:dyDescent="0.3">
      <c r="A91">
        <v>90</v>
      </c>
      <c r="B91" s="1">
        <v>46039</v>
      </c>
      <c r="C91">
        <v>21</v>
      </c>
      <c r="D91" t="s">
        <v>140</v>
      </c>
      <c r="E91" s="6" t="s">
        <v>270</v>
      </c>
      <c r="F91">
        <f>HOUR(Sales[[#This Row],[sales_time]])</f>
        <v>19</v>
      </c>
    </row>
    <row r="92" spans="1:6" x14ac:dyDescent="0.3">
      <c r="A92">
        <v>91</v>
      </c>
      <c r="B92" s="1">
        <v>46046</v>
      </c>
      <c r="C92">
        <v>37</v>
      </c>
      <c r="D92" t="s">
        <v>140</v>
      </c>
      <c r="E92" s="6" t="s">
        <v>271</v>
      </c>
      <c r="F92">
        <f>HOUR(Sales[[#This Row],[sales_time]])</f>
        <v>10</v>
      </c>
    </row>
    <row r="93" spans="1:6" x14ac:dyDescent="0.3">
      <c r="A93">
        <v>92</v>
      </c>
      <c r="B93" s="1">
        <v>46050</v>
      </c>
      <c r="C93">
        <v>14</v>
      </c>
      <c r="D93" t="s">
        <v>140</v>
      </c>
      <c r="E93" s="6" t="s">
        <v>272</v>
      </c>
      <c r="F93">
        <f>HOUR(Sales[[#This Row],[sales_time]])</f>
        <v>19</v>
      </c>
    </row>
    <row r="94" spans="1:6" x14ac:dyDescent="0.3">
      <c r="A94">
        <v>93</v>
      </c>
      <c r="B94" s="1">
        <v>46051</v>
      </c>
      <c r="C94">
        <v>42</v>
      </c>
      <c r="D94" t="s">
        <v>140</v>
      </c>
      <c r="E94" s="6" t="s">
        <v>273</v>
      </c>
      <c r="F94">
        <f>HOUR(Sales[[#This Row],[sales_time]])</f>
        <v>15</v>
      </c>
    </row>
    <row r="95" spans="1:6" x14ac:dyDescent="0.3">
      <c r="A95">
        <v>94</v>
      </c>
      <c r="B95" s="1">
        <v>46069</v>
      </c>
      <c r="C95">
        <v>21</v>
      </c>
      <c r="D95" t="s">
        <v>143</v>
      </c>
      <c r="E95" s="6" t="s">
        <v>274</v>
      </c>
      <c r="F95">
        <f>HOUR(Sales[[#This Row],[sales_time]])</f>
        <v>9</v>
      </c>
    </row>
    <row r="96" spans="1:6" x14ac:dyDescent="0.3">
      <c r="A96">
        <v>95</v>
      </c>
      <c r="B96" s="1">
        <v>46073</v>
      </c>
      <c r="C96">
        <v>32</v>
      </c>
      <c r="D96" t="s">
        <v>140</v>
      </c>
      <c r="E96" s="6" t="s">
        <v>275</v>
      </c>
      <c r="F96">
        <f>HOUR(Sales[[#This Row],[sales_time]])</f>
        <v>15</v>
      </c>
    </row>
    <row r="97" spans="1:6" x14ac:dyDescent="0.3">
      <c r="A97">
        <v>96</v>
      </c>
      <c r="B97" s="1">
        <v>46083</v>
      </c>
      <c r="C97">
        <v>12</v>
      </c>
      <c r="D97" t="s">
        <v>140</v>
      </c>
      <c r="E97" s="6" t="s">
        <v>276</v>
      </c>
      <c r="F97">
        <f>HOUR(Sales[[#This Row],[sales_time]])</f>
        <v>12</v>
      </c>
    </row>
    <row r="98" spans="1:6" x14ac:dyDescent="0.3">
      <c r="A98">
        <v>97</v>
      </c>
      <c r="B98" s="1">
        <v>46117</v>
      </c>
      <c r="C98">
        <v>28</v>
      </c>
      <c r="D98" t="s">
        <v>140</v>
      </c>
      <c r="E98" s="6" t="s">
        <v>277</v>
      </c>
      <c r="F98">
        <f>HOUR(Sales[[#This Row],[sales_time]])</f>
        <v>15</v>
      </c>
    </row>
    <row r="99" spans="1:6" x14ac:dyDescent="0.3">
      <c r="A99">
        <v>98</v>
      </c>
      <c r="B99" s="1">
        <v>46118</v>
      </c>
      <c r="C99">
        <v>35</v>
      </c>
      <c r="D99" t="s">
        <v>141</v>
      </c>
      <c r="E99" s="6" t="s">
        <v>278</v>
      </c>
      <c r="F99">
        <f>HOUR(Sales[[#This Row],[sales_time]])</f>
        <v>18</v>
      </c>
    </row>
    <row r="100" spans="1:6" x14ac:dyDescent="0.3">
      <c r="A100">
        <v>99</v>
      </c>
      <c r="B100" s="1">
        <v>46120</v>
      </c>
      <c r="C100">
        <v>9</v>
      </c>
      <c r="D100" t="s">
        <v>140</v>
      </c>
      <c r="E100" s="6" t="s">
        <v>279</v>
      </c>
      <c r="F100">
        <f>HOUR(Sales[[#This Row],[sales_time]])</f>
        <v>17</v>
      </c>
    </row>
    <row r="101" spans="1:6" x14ac:dyDescent="0.3">
      <c r="A101">
        <v>100</v>
      </c>
      <c r="B101" s="1">
        <v>46141</v>
      </c>
      <c r="C101">
        <v>47</v>
      </c>
      <c r="D101" t="s">
        <v>142</v>
      </c>
      <c r="E101" s="6" t="s">
        <v>280</v>
      </c>
      <c r="F101">
        <f>HOUR(Sales[[#This Row],[sales_time]])</f>
        <v>10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1660A-BC59-4F19-B750-1FBA97BD9E90}">
  <dimension ref="A1:D201"/>
  <sheetViews>
    <sheetView workbookViewId="0"/>
  </sheetViews>
  <sheetFormatPr defaultColWidth="8.796875" defaultRowHeight="15.6" x14ac:dyDescent="0.3"/>
  <cols>
    <col min="1" max="1" width="11.69921875" bestFit="1" customWidth="1"/>
    <col min="2" max="2" width="9.69921875" bestFit="1" customWidth="1"/>
    <col min="3" max="3" width="11.796875" bestFit="1" customWidth="1"/>
    <col min="4" max="4" width="15" bestFit="1" customWidth="1"/>
  </cols>
  <sheetData>
    <row r="1" spans="1:4" x14ac:dyDescent="0.3">
      <c r="A1" t="s">
        <v>144</v>
      </c>
      <c r="B1" t="s">
        <v>137</v>
      </c>
      <c r="C1" t="s">
        <v>23</v>
      </c>
      <c r="D1" t="s">
        <v>145</v>
      </c>
    </row>
    <row r="2" spans="1:4" x14ac:dyDescent="0.3">
      <c r="A2">
        <v>1</v>
      </c>
      <c r="B2">
        <v>1</v>
      </c>
      <c r="C2">
        <v>4</v>
      </c>
      <c r="D2">
        <v>2</v>
      </c>
    </row>
    <row r="3" spans="1:4" x14ac:dyDescent="0.3">
      <c r="A3">
        <v>2</v>
      </c>
      <c r="B3">
        <v>2</v>
      </c>
      <c r="C3">
        <v>8</v>
      </c>
      <c r="D3">
        <v>1</v>
      </c>
    </row>
    <row r="4" spans="1:4" x14ac:dyDescent="0.3">
      <c r="A4">
        <v>3</v>
      </c>
      <c r="B4">
        <v>3</v>
      </c>
      <c r="C4">
        <v>5</v>
      </c>
      <c r="D4">
        <v>1</v>
      </c>
    </row>
    <row r="5" spans="1:4" x14ac:dyDescent="0.3">
      <c r="A5">
        <v>4</v>
      </c>
      <c r="B5">
        <v>4</v>
      </c>
      <c r="C5">
        <v>1</v>
      </c>
      <c r="D5">
        <v>5</v>
      </c>
    </row>
    <row r="6" spans="1:4" x14ac:dyDescent="0.3">
      <c r="A6">
        <v>5</v>
      </c>
      <c r="B6">
        <v>5</v>
      </c>
      <c r="C6">
        <v>4</v>
      </c>
      <c r="D6">
        <v>3</v>
      </c>
    </row>
    <row r="7" spans="1:4" x14ac:dyDescent="0.3">
      <c r="A7">
        <v>6</v>
      </c>
      <c r="B7">
        <v>51</v>
      </c>
      <c r="C7">
        <v>7</v>
      </c>
      <c r="D7">
        <v>6</v>
      </c>
    </row>
    <row r="8" spans="1:4" x14ac:dyDescent="0.3">
      <c r="A8">
        <v>7</v>
      </c>
      <c r="B8">
        <v>24</v>
      </c>
      <c r="C8">
        <v>21</v>
      </c>
      <c r="D8">
        <v>1</v>
      </c>
    </row>
    <row r="9" spans="1:4" x14ac:dyDescent="0.3">
      <c r="A9">
        <v>8</v>
      </c>
      <c r="B9">
        <v>68</v>
      </c>
      <c r="C9">
        <v>25</v>
      </c>
      <c r="D9">
        <v>1</v>
      </c>
    </row>
    <row r="10" spans="1:4" x14ac:dyDescent="0.3">
      <c r="A10">
        <v>9</v>
      </c>
      <c r="B10">
        <v>44</v>
      </c>
      <c r="C10">
        <v>22</v>
      </c>
      <c r="D10">
        <v>8</v>
      </c>
    </row>
    <row r="11" spans="1:4" x14ac:dyDescent="0.3">
      <c r="A11">
        <v>10</v>
      </c>
      <c r="B11">
        <v>18</v>
      </c>
      <c r="C11">
        <v>8</v>
      </c>
      <c r="D11">
        <v>2</v>
      </c>
    </row>
    <row r="12" spans="1:4" x14ac:dyDescent="0.3">
      <c r="A12">
        <v>11</v>
      </c>
      <c r="B12">
        <v>89</v>
      </c>
      <c r="C12">
        <v>5</v>
      </c>
      <c r="D12">
        <v>10</v>
      </c>
    </row>
    <row r="13" spans="1:4" x14ac:dyDescent="0.3">
      <c r="A13">
        <v>12</v>
      </c>
      <c r="B13">
        <v>23</v>
      </c>
      <c r="C13">
        <v>15</v>
      </c>
      <c r="D13">
        <v>7</v>
      </c>
    </row>
    <row r="14" spans="1:4" x14ac:dyDescent="0.3">
      <c r="A14">
        <v>13</v>
      </c>
      <c r="B14">
        <v>42</v>
      </c>
      <c r="C14">
        <v>22</v>
      </c>
      <c r="D14">
        <v>7</v>
      </c>
    </row>
    <row r="15" spans="1:4" x14ac:dyDescent="0.3">
      <c r="A15">
        <v>14</v>
      </c>
      <c r="B15">
        <v>18</v>
      </c>
      <c r="C15">
        <v>11</v>
      </c>
      <c r="D15">
        <v>3</v>
      </c>
    </row>
    <row r="16" spans="1:4" x14ac:dyDescent="0.3">
      <c r="A16">
        <v>15</v>
      </c>
      <c r="B16">
        <v>16</v>
      </c>
      <c r="C16">
        <v>15</v>
      </c>
      <c r="D16">
        <v>6</v>
      </c>
    </row>
    <row r="17" spans="1:4" x14ac:dyDescent="0.3">
      <c r="A17">
        <v>16</v>
      </c>
      <c r="B17">
        <v>8</v>
      </c>
      <c r="C17">
        <v>5</v>
      </c>
      <c r="D17">
        <v>4</v>
      </c>
    </row>
    <row r="18" spans="1:4" x14ac:dyDescent="0.3">
      <c r="A18">
        <v>17</v>
      </c>
      <c r="B18">
        <v>57</v>
      </c>
      <c r="C18">
        <v>7</v>
      </c>
      <c r="D18">
        <v>4</v>
      </c>
    </row>
    <row r="19" spans="1:4" x14ac:dyDescent="0.3">
      <c r="A19">
        <v>18</v>
      </c>
      <c r="B19">
        <v>23</v>
      </c>
      <c r="C19">
        <v>1</v>
      </c>
      <c r="D19">
        <v>4</v>
      </c>
    </row>
    <row r="20" spans="1:4" x14ac:dyDescent="0.3">
      <c r="A20">
        <v>19</v>
      </c>
      <c r="B20">
        <v>83</v>
      </c>
      <c r="C20">
        <v>17</v>
      </c>
      <c r="D20">
        <v>8</v>
      </c>
    </row>
    <row r="21" spans="1:4" x14ac:dyDescent="0.3">
      <c r="A21">
        <v>20</v>
      </c>
      <c r="B21">
        <v>68</v>
      </c>
      <c r="C21">
        <v>1</v>
      </c>
      <c r="D21">
        <v>8</v>
      </c>
    </row>
    <row r="22" spans="1:4" x14ac:dyDescent="0.3">
      <c r="A22">
        <v>21</v>
      </c>
      <c r="B22">
        <v>91</v>
      </c>
      <c r="C22">
        <v>13</v>
      </c>
      <c r="D22">
        <v>9</v>
      </c>
    </row>
    <row r="23" spans="1:4" x14ac:dyDescent="0.3">
      <c r="A23">
        <v>22</v>
      </c>
      <c r="B23">
        <v>50</v>
      </c>
      <c r="C23">
        <v>16</v>
      </c>
      <c r="D23">
        <v>9</v>
      </c>
    </row>
    <row r="24" spans="1:4" x14ac:dyDescent="0.3">
      <c r="A24">
        <v>23</v>
      </c>
      <c r="B24">
        <v>9</v>
      </c>
      <c r="C24">
        <v>16</v>
      </c>
      <c r="D24">
        <v>3</v>
      </c>
    </row>
    <row r="25" spans="1:4" x14ac:dyDescent="0.3">
      <c r="A25">
        <v>24</v>
      </c>
      <c r="B25">
        <v>49</v>
      </c>
      <c r="C25">
        <v>1</v>
      </c>
      <c r="D25">
        <v>3</v>
      </c>
    </row>
    <row r="26" spans="1:4" x14ac:dyDescent="0.3">
      <c r="A26">
        <v>25</v>
      </c>
      <c r="B26">
        <v>17</v>
      </c>
      <c r="C26">
        <v>14</v>
      </c>
      <c r="D26">
        <v>5</v>
      </c>
    </row>
    <row r="27" spans="1:4" x14ac:dyDescent="0.3">
      <c r="A27">
        <v>26</v>
      </c>
      <c r="B27">
        <v>92</v>
      </c>
      <c r="C27">
        <v>21</v>
      </c>
      <c r="D27">
        <v>1</v>
      </c>
    </row>
    <row r="28" spans="1:4" x14ac:dyDescent="0.3">
      <c r="A28">
        <v>27</v>
      </c>
      <c r="B28">
        <v>18</v>
      </c>
      <c r="C28">
        <v>4</v>
      </c>
      <c r="D28">
        <v>9</v>
      </c>
    </row>
    <row r="29" spans="1:4" x14ac:dyDescent="0.3">
      <c r="A29">
        <v>28</v>
      </c>
      <c r="B29">
        <v>67</v>
      </c>
      <c r="C29">
        <v>3</v>
      </c>
      <c r="D29">
        <v>7</v>
      </c>
    </row>
    <row r="30" spans="1:4" x14ac:dyDescent="0.3">
      <c r="A30">
        <v>29</v>
      </c>
      <c r="B30">
        <v>37</v>
      </c>
      <c r="C30">
        <v>11</v>
      </c>
      <c r="D30">
        <v>4</v>
      </c>
    </row>
    <row r="31" spans="1:4" x14ac:dyDescent="0.3">
      <c r="A31">
        <v>30</v>
      </c>
      <c r="B31">
        <v>56</v>
      </c>
      <c r="C31">
        <v>12</v>
      </c>
      <c r="D31">
        <v>9</v>
      </c>
    </row>
    <row r="32" spans="1:4" x14ac:dyDescent="0.3">
      <c r="A32">
        <v>31</v>
      </c>
      <c r="B32">
        <v>4</v>
      </c>
      <c r="C32">
        <v>15</v>
      </c>
      <c r="D32">
        <v>6</v>
      </c>
    </row>
    <row r="33" spans="1:4" x14ac:dyDescent="0.3">
      <c r="A33">
        <v>32</v>
      </c>
      <c r="B33">
        <v>74</v>
      </c>
      <c r="C33">
        <v>11</v>
      </c>
      <c r="D33">
        <v>10</v>
      </c>
    </row>
    <row r="34" spans="1:4" x14ac:dyDescent="0.3">
      <c r="A34">
        <v>33</v>
      </c>
      <c r="B34">
        <v>80</v>
      </c>
      <c r="C34">
        <v>20</v>
      </c>
      <c r="D34">
        <v>7</v>
      </c>
    </row>
    <row r="35" spans="1:4" x14ac:dyDescent="0.3">
      <c r="A35">
        <v>34</v>
      </c>
      <c r="B35">
        <v>21</v>
      </c>
      <c r="C35">
        <v>12</v>
      </c>
      <c r="D35">
        <v>5</v>
      </c>
    </row>
    <row r="36" spans="1:4" x14ac:dyDescent="0.3">
      <c r="A36">
        <v>35</v>
      </c>
      <c r="B36">
        <v>88</v>
      </c>
      <c r="C36">
        <v>14</v>
      </c>
      <c r="D36">
        <v>9</v>
      </c>
    </row>
    <row r="37" spans="1:4" x14ac:dyDescent="0.3">
      <c r="A37">
        <v>36</v>
      </c>
      <c r="B37">
        <v>97</v>
      </c>
      <c r="C37">
        <v>19</v>
      </c>
      <c r="D37">
        <v>6</v>
      </c>
    </row>
    <row r="38" spans="1:4" x14ac:dyDescent="0.3">
      <c r="A38">
        <v>37</v>
      </c>
      <c r="B38">
        <v>53</v>
      </c>
      <c r="C38">
        <v>16</v>
      </c>
      <c r="D38">
        <v>1</v>
      </c>
    </row>
    <row r="39" spans="1:4" x14ac:dyDescent="0.3">
      <c r="A39">
        <v>38</v>
      </c>
      <c r="B39">
        <v>81</v>
      </c>
      <c r="C39">
        <v>10</v>
      </c>
      <c r="D39">
        <v>7</v>
      </c>
    </row>
    <row r="40" spans="1:4" x14ac:dyDescent="0.3">
      <c r="A40">
        <v>39</v>
      </c>
      <c r="B40">
        <v>29</v>
      </c>
      <c r="C40">
        <v>14</v>
      </c>
      <c r="D40">
        <v>6</v>
      </c>
    </row>
    <row r="41" spans="1:4" x14ac:dyDescent="0.3">
      <c r="A41">
        <v>40</v>
      </c>
      <c r="B41">
        <v>5</v>
      </c>
      <c r="C41">
        <v>2</v>
      </c>
      <c r="D41">
        <v>6</v>
      </c>
    </row>
    <row r="42" spans="1:4" x14ac:dyDescent="0.3">
      <c r="A42">
        <v>41</v>
      </c>
      <c r="B42">
        <v>31</v>
      </c>
      <c r="C42">
        <v>17</v>
      </c>
      <c r="D42">
        <v>8</v>
      </c>
    </row>
    <row r="43" spans="1:4" x14ac:dyDescent="0.3">
      <c r="A43">
        <v>42</v>
      </c>
      <c r="B43">
        <v>90</v>
      </c>
      <c r="C43">
        <v>25</v>
      </c>
      <c r="D43">
        <v>5</v>
      </c>
    </row>
    <row r="44" spans="1:4" x14ac:dyDescent="0.3">
      <c r="A44">
        <v>43</v>
      </c>
      <c r="B44">
        <v>11</v>
      </c>
      <c r="C44">
        <v>18</v>
      </c>
      <c r="D44">
        <v>1</v>
      </c>
    </row>
    <row r="45" spans="1:4" x14ac:dyDescent="0.3">
      <c r="A45">
        <v>44</v>
      </c>
      <c r="B45">
        <v>96</v>
      </c>
      <c r="C45">
        <v>10</v>
      </c>
      <c r="D45">
        <v>3</v>
      </c>
    </row>
    <row r="46" spans="1:4" x14ac:dyDescent="0.3">
      <c r="A46">
        <v>45</v>
      </c>
      <c r="B46">
        <v>5</v>
      </c>
      <c r="C46">
        <v>13</v>
      </c>
      <c r="D46">
        <v>9</v>
      </c>
    </row>
    <row r="47" spans="1:4" x14ac:dyDescent="0.3">
      <c r="A47">
        <v>46</v>
      </c>
      <c r="B47">
        <v>26</v>
      </c>
      <c r="C47">
        <v>25</v>
      </c>
      <c r="D47">
        <v>4</v>
      </c>
    </row>
    <row r="48" spans="1:4" x14ac:dyDescent="0.3">
      <c r="A48">
        <v>47</v>
      </c>
      <c r="B48">
        <v>96</v>
      </c>
      <c r="C48">
        <v>1</v>
      </c>
      <c r="D48">
        <v>7</v>
      </c>
    </row>
    <row r="49" spans="1:4" x14ac:dyDescent="0.3">
      <c r="A49">
        <v>48</v>
      </c>
      <c r="B49">
        <v>61</v>
      </c>
      <c r="C49">
        <v>5</v>
      </c>
      <c r="D49">
        <v>7</v>
      </c>
    </row>
    <row r="50" spans="1:4" x14ac:dyDescent="0.3">
      <c r="A50">
        <v>49</v>
      </c>
      <c r="B50">
        <v>6</v>
      </c>
      <c r="C50">
        <v>24</v>
      </c>
      <c r="D50">
        <v>9</v>
      </c>
    </row>
    <row r="51" spans="1:4" x14ac:dyDescent="0.3">
      <c r="A51">
        <v>50</v>
      </c>
      <c r="B51">
        <v>87</v>
      </c>
      <c r="C51">
        <v>23</v>
      </c>
      <c r="D51">
        <v>3</v>
      </c>
    </row>
    <row r="52" spans="1:4" x14ac:dyDescent="0.3">
      <c r="A52">
        <v>51</v>
      </c>
      <c r="B52">
        <v>96</v>
      </c>
      <c r="C52">
        <v>18</v>
      </c>
      <c r="D52">
        <v>5</v>
      </c>
    </row>
    <row r="53" spans="1:4" x14ac:dyDescent="0.3">
      <c r="A53">
        <v>52</v>
      </c>
      <c r="B53">
        <v>87</v>
      </c>
      <c r="C53">
        <v>20</v>
      </c>
      <c r="D53">
        <v>10</v>
      </c>
    </row>
    <row r="54" spans="1:4" x14ac:dyDescent="0.3">
      <c r="A54">
        <v>53</v>
      </c>
      <c r="B54">
        <v>37</v>
      </c>
      <c r="C54">
        <v>3</v>
      </c>
      <c r="D54">
        <v>5</v>
      </c>
    </row>
    <row r="55" spans="1:4" x14ac:dyDescent="0.3">
      <c r="A55">
        <v>54</v>
      </c>
      <c r="B55">
        <v>68</v>
      </c>
      <c r="C55">
        <v>20</v>
      </c>
      <c r="D55">
        <v>8</v>
      </c>
    </row>
    <row r="56" spans="1:4" x14ac:dyDescent="0.3">
      <c r="A56">
        <v>55</v>
      </c>
      <c r="B56">
        <v>25</v>
      </c>
      <c r="C56">
        <v>9</v>
      </c>
      <c r="D56">
        <v>1</v>
      </c>
    </row>
    <row r="57" spans="1:4" x14ac:dyDescent="0.3">
      <c r="A57">
        <v>56</v>
      </c>
      <c r="B57">
        <v>6</v>
      </c>
      <c r="C57">
        <v>11</v>
      </c>
      <c r="D57">
        <v>3</v>
      </c>
    </row>
    <row r="58" spans="1:4" x14ac:dyDescent="0.3">
      <c r="A58">
        <v>57</v>
      </c>
      <c r="B58">
        <v>26</v>
      </c>
      <c r="C58">
        <v>23</v>
      </c>
      <c r="D58">
        <v>7</v>
      </c>
    </row>
    <row r="59" spans="1:4" x14ac:dyDescent="0.3">
      <c r="A59">
        <v>58</v>
      </c>
      <c r="B59">
        <v>78</v>
      </c>
      <c r="C59">
        <v>25</v>
      </c>
      <c r="D59">
        <v>3</v>
      </c>
    </row>
    <row r="60" spans="1:4" x14ac:dyDescent="0.3">
      <c r="A60">
        <v>59</v>
      </c>
      <c r="B60">
        <v>61</v>
      </c>
      <c r="C60">
        <v>18</v>
      </c>
      <c r="D60">
        <v>7</v>
      </c>
    </row>
    <row r="61" spans="1:4" x14ac:dyDescent="0.3">
      <c r="A61">
        <v>60</v>
      </c>
      <c r="B61">
        <v>74</v>
      </c>
      <c r="C61">
        <v>24</v>
      </c>
      <c r="D61">
        <v>7</v>
      </c>
    </row>
    <row r="62" spans="1:4" x14ac:dyDescent="0.3">
      <c r="A62">
        <v>61</v>
      </c>
      <c r="B62">
        <v>32</v>
      </c>
      <c r="C62">
        <v>22</v>
      </c>
      <c r="D62">
        <v>1</v>
      </c>
    </row>
    <row r="63" spans="1:4" x14ac:dyDescent="0.3">
      <c r="A63">
        <v>62</v>
      </c>
      <c r="B63">
        <v>39</v>
      </c>
      <c r="C63">
        <v>12</v>
      </c>
      <c r="D63">
        <v>6</v>
      </c>
    </row>
    <row r="64" spans="1:4" x14ac:dyDescent="0.3">
      <c r="A64">
        <v>63</v>
      </c>
      <c r="B64">
        <v>52</v>
      </c>
      <c r="C64">
        <v>12</v>
      </c>
      <c r="D64">
        <v>6</v>
      </c>
    </row>
    <row r="65" spans="1:4" x14ac:dyDescent="0.3">
      <c r="A65">
        <v>64</v>
      </c>
      <c r="B65">
        <v>57</v>
      </c>
      <c r="C65">
        <v>14</v>
      </c>
      <c r="D65">
        <v>7</v>
      </c>
    </row>
    <row r="66" spans="1:4" x14ac:dyDescent="0.3">
      <c r="A66">
        <v>65</v>
      </c>
      <c r="B66">
        <v>70</v>
      </c>
      <c r="C66">
        <v>11</v>
      </c>
      <c r="D66">
        <v>10</v>
      </c>
    </row>
    <row r="67" spans="1:4" x14ac:dyDescent="0.3">
      <c r="A67">
        <v>66</v>
      </c>
      <c r="B67">
        <v>51</v>
      </c>
      <c r="C67">
        <v>6</v>
      </c>
      <c r="D67">
        <v>5</v>
      </c>
    </row>
    <row r="68" spans="1:4" x14ac:dyDescent="0.3">
      <c r="A68">
        <v>67</v>
      </c>
      <c r="B68">
        <v>25</v>
      </c>
      <c r="C68">
        <v>13</v>
      </c>
      <c r="D68">
        <v>3</v>
      </c>
    </row>
    <row r="69" spans="1:4" x14ac:dyDescent="0.3">
      <c r="A69">
        <v>68</v>
      </c>
      <c r="B69">
        <v>89</v>
      </c>
      <c r="C69">
        <v>11</v>
      </c>
      <c r="D69">
        <v>8</v>
      </c>
    </row>
    <row r="70" spans="1:4" x14ac:dyDescent="0.3">
      <c r="A70">
        <v>69</v>
      </c>
      <c r="B70">
        <v>42</v>
      </c>
      <c r="C70">
        <v>14</v>
      </c>
      <c r="D70">
        <v>9</v>
      </c>
    </row>
    <row r="71" spans="1:4" x14ac:dyDescent="0.3">
      <c r="A71">
        <v>70</v>
      </c>
      <c r="B71">
        <v>95</v>
      </c>
      <c r="C71">
        <v>22</v>
      </c>
      <c r="D71">
        <v>10</v>
      </c>
    </row>
    <row r="72" spans="1:4" x14ac:dyDescent="0.3">
      <c r="A72">
        <v>71</v>
      </c>
      <c r="B72">
        <v>54</v>
      </c>
      <c r="C72">
        <v>7</v>
      </c>
      <c r="D72">
        <v>1</v>
      </c>
    </row>
    <row r="73" spans="1:4" x14ac:dyDescent="0.3">
      <c r="A73">
        <v>72</v>
      </c>
      <c r="B73">
        <v>43</v>
      </c>
      <c r="C73">
        <v>5</v>
      </c>
      <c r="D73">
        <v>1</v>
      </c>
    </row>
    <row r="74" spans="1:4" x14ac:dyDescent="0.3">
      <c r="A74">
        <v>73</v>
      </c>
      <c r="B74">
        <v>24</v>
      </c>
      <c r="C74">
        <v>4</v>
      </c>
      <c r="D74">
        <v>8</v>
      </c>
    </row>
    <row r="75" spans="1:4" x14ac:dyDescent="0.3">
      <c r="A75">
        <v>74</v>
      </c>
      <c r="B75">
        <v>52</v>
      </c>
      <c r="C75">
        <v>23</v>
      </c>
      <c r="D75">
        <v>5</v>
      </c>
    </row>
    <row r="76" spans="1:4" x14ac:dyDescent="0.3">
      <c r="A76">
        <v>75</v>
      </c>
      <c r="B76">
        <v>27</v>
      </c>
      <c r="C76">
        <v>11</v>
      </c>
      <c r="D76">
        <v>8</v>
      </c>
    </row>
    <row r="77" spans="1:4" x14ac:dyDescent="0.3">
      <c r="A77">
        <v>76</v>
      </c>
      <c r="B77">
        <v>17</v>
      </c>
      <c r="C77">
        <v>17</v>
      </c>
      <c r="D77">
        <v>4</v>
      </c>
    </row>
    <row r="78" spans="1:4" x14ac:dyDescent="0.3">
      <c r="A78">
        <v>77</v>
      </c>
      <c r="B78">
        <v>27</v>
      </c>
      <c r="C78">
        <v>6</v>
      </c>
      <c r="D78">
        <v>5</v>
      </c>
    </row>
    <row r="79" spans="1:4" x14ac:dyDescent="0.3">
      <c r="A79">
        <v>78</v>
      </c>
      <c r="B79">
        <v>21</v>
      </c>
      <c r="C79">
        <v>25</v>
      </c>
      <c r="D79">
        <v>6</v>
      </c>
    </row>
    <row r="80" spans="1:4" x14ac:dyDescent="0.3">
      <c r="A80">
        <v>79</v>
      </c>
      <c r="B80">
        <v>87</v>
      </c>
      <c r="C80">
        <v>17</v>
      </c>
      <c r="D80">
        <v>1</v>
      </c>
    </row>
    <row r="81" spans="1:4" x14ac:dyDescent="0.3">
      <c r="A81">
        <v>80</v>
      </c>
      <c r="B81">
        <v>15</v>
      </c>
      <c r="C81">
        <v>10</v>
      </c>
      <c r="D81">
        <v>3</v>
      </c>
    </row>
    <row r="82" spans="1:4" x14ac:dyDescent="0.3">
      <c r="A82">
        <v>81</v>
      </c>
      <c r="B82">
        <v>10</v>
      </c>
      <c r="C82">
        <v>8</v>
      </c>
      <c r="D82">
        <v>6</v>
      </c>
    </row>
    <row r="83" spans="1:4" x14ac:dyDescent="0.3">
      <c r="A83">
        <v>82</v>
      </c>
      <c r="B83">
        <v>73</v>
      </c>
      <c r="C83">
        <v>18</v>
      </c>
      <c r="D83">
        <v>10</v>
      </c>
    </row>
    <row r="84" spans="1:4" x14ac:dyDescent="0.3">
      <c r="A84">
        <v>83</v>
      </c>
      <c r="B84">
        <v>89</v>
      </c>
      <c r="C84">
        <v>16</v>
      </c>
      <c r="D84">
        <v>5</v>
      </c>
    </row>
    <row r="85" spans="1:4" x14ac:dyDescent="0.3">
      <c r="A85">
        <v>84</v>
      </c>
      <c r="B85">
        <v>39</v>
      </c>
      <c r="C85">
        <v>7</v>
      </c>
      <c r="D85">
        <v>7</v>
      </c>
    </row>
    <row r="86" spans="1:4" x14ac:dyDescent="0.3">
      <c r="A86">
        <v>85</v>
      </c>
      <c r="B86">
        <v>50</v>
      </c>
      <c r="C86">
        <v>14</v>
      </c>
      <c r="D86">
        <v>1</v>
      </c>
    </row>
    <row r="87" spans="1:4" x14ac:dyDescent="0.3">
      <c r="A87">
        <v>86</v>
      </c>
      <c r="B87">
        <v>40</v>
      </c>
      <c r="C87">
        <v>17</v>
      </c>
      <c r="D87">
        <v>4</v>
      </c>
    </row>
    <row r="88" spans="1:4" x14ac:dyDescent="0.3">
      <c r="A88">
        <v>87</v>
      </c>
      <c r="B88">
        <v>100</v>
      </c>
      <c r="C88">
        <v>5</v>
      </c>
      <c r="D88">
        <v>2</v>
      </c>
    </row>
    <row r="89" spans="1:4" x14ac:dyDescent="0.3">
      <c r="A89">
        <v>88</v>
      </c>
      <c r="B89">
        <v>51</v>
      </c>
      <c r="C89">
        <v>2</v>
      </c>
      <c r="D89">
        <v>2</v>
      </c>
    </row>
    <row r="90" spans="1:4" x14ac:dyDescent="0.3">
      <c r="A90">
        <v>89</v>
      </c>
      <c r="B90">
        <v>99</v>
      </c>
      <c r="C90">
        <v>5</v>
      </c>
      <c r="D90">
        <v>6</v>
      </c>
    </row>
    <row r="91" spans="1:4" x14ac:dyDescent="0.3">
      <c r="A91">
        <v>90</v>
      </c>
      <c r="B91">
        <v>7</v>
      </c>
      <c r="C91">
        <v>7</v>
      </c>
      <c r="D91">
        <v>9</v>
      </c>
    </row>
    <row r="92" spans="1:4" x14ac:dyDescent="0.3">
      <c r="A92">
        <v>91</v>
      </c>
      <c r="B92">
        <v>41</v>
      </c>
      <c r="C92">
        <v>14</v>
      </c>
      <c r="D92">
        <v>8</v>
      </c>
    </row>
    <row r="93" spans="1:4" x14ac:dyDescent="0.3">
      <c r="A93">
        <v>92</v>
      </c>
      <c r="B93">
        <v>96</v>
      </c>
      <c r="C93">
        <v>25</v>
      </c>
      <c r="D93">
        <v>8</v>
      </c>
    </row>
    <row r="94" spans="1:4" x14ac:dyDescent="0.3">
      <c r="A94">
        <v>93</v>
      </c>
      <c r="B94">
        <v>100</v>
      </c>
      <c r="C94">
        <v>15</v>
      </c>
      <c r="D94">
        <v>2</v>
      </c>
    </row>
    <row r="95" spans="1:4" x14ac:dyDescent="0.3">
      <c r="A95">
        <v>94</v>
      </c>
      <c r="B95">
        <v>29</v>
      </c>
      <c r="C95">
        <v>4</v>
      </c>
      <c r="D95">
        <v>7</v>
      </c>
    </row>
    <row r="96" spans="1:4" x14ac:dyDescent="0.3">
      <c r="A96">
        <v>95</v>
      </c>
      <c r="B96">
        <v>40</v>
      </c>
      <c r="C96">
        <v>24</v>
      </c>
      <c r="D96">
        <v>4</v>
      </c>
    </row>
    <row r="97" spans="1:4" x14ac:dyDescent="0.3">
      <c r="A97">
        <v>96</v>
      </c>
      <c r="B97">
        <v>38</v>
      </c>
      <c r="C97">
        <v>13</v>
      </c>
      <c r="D97">
        <v>5</v>
      </c>
    </row>
    <row r="98" spans="1:4" x14ac:dyDescent="0.3">
      <c r="A98">
        <v>97</v>
      </c>
      <c r="B98">
        <v>37</v>
      </c>
      <c r="C98">
        <v>13</v>
      </c>
      <c r="D98">
        <v>2</v>
      </c>
    </row>
    <row r="99" spans="1:4" x14ac:dyDescent="0.3">
      <c r="A99">
        <v>98</v>
      </c>
      <c r="B99">
        <v>23</v>
      </c>
      <c r="C99">
        <v>13</v>
      </c>
      <c r="D99">
        <v>9</v>
      </c>
    </row>
    <row r="100" spans="1:4" x14ac:dyDescent="0.3">
      <c r="A100">
        <v>99</v>
      </c>
      <c r="B100">
        <v>59</v>
      </c>
      <c r="C100">
        <v>20</v>
      </c>
      <c r="D100">
        <v>4</v>
      </c>
    </row>
    <row r="101" spans="1:4" x14ac:dyDescent="0.3">
      <c r="A101">
        <v>100</v>
      </c>
      <c r="B101">
        <v>77</v>
      </c>
      <c r="C101">
        <v>11</v>
      </c>
      <c r="D101">
        <v>5</v>
      </c>
    </row>
    <row r="102" spans="1:4" x14ac:dyDescent="0.3">
      <c r="A102">
        <v>101</v>
      </c>
      <c r="B102">
        <v>11</v>
      </c>
      <c r="C102">
        <v>12</v>
      </c>
      <c r="D102">
        <v>4</v>
      </c>
    </row>
    <row r="103" spans="1:4" x14ac:dyDescent="0.3">
      <c r="A103">
        <v>102</v>
      </c>
      <c r="B103">
        <v>68</v>
      </c>
      <c r="C103">
        <v>22</v>
      </c>
      <c r="D103">
        <v>3</v>
      </c>
    </row>
    <row r="104" spans="1:4" x14ac:dyDescent="0.3">
      <c r="A104">
        <v>103</v>
      </c>
      <c r="B104">
        <v>52</v>
      </c>
      <c r="C104">
        <v>1</v>
      </c>
      <c r="D104">
        <v>7</v>
      </c>
    </row>
    <row r="105" spans="1:4" x14ac:dyDescent="0.3">
      <c r="A105">
        <v>104</v>
      </c>
      <c r="B105">
        <v>31</v>
      </c>
      <c r="C105">
        <v>14</v>
      </c>
      <c r="D105">
        <v>2</v>
      </c>
    </row>
    <row r="106" spans="1:4" x14ac:dyDescent="0.3">
      <c r="A106">
        <v>105</v>
      </c>
      <c r="B106">
        <v>37</v>
      </c>
      <c r="C106">
        <v>1</v>
      </c>
      <c r="D106">
        <v>8</v>
      </c>
    </row>
    <row r="107" spans="1:4" x14ac:dyDescent="0.3">
      <c r="A107">
        <v>106</v>
      </c>
      <c r="B107">
        <v>100</v>
      </c>
      <c r="C107">
        <v>21</v>
      </c>
      <c r="D107">
        <v>5</v>
      </c>
    </row>
    <row r="108" spans="1:4" x14ac:dyDescent="0.3">
      <c r="A108">
        <v>107</v>
      </c>
      <c r="B108">
        <v>86</v>
      </c>
      <c r="C108">
        <v>10</v>
      </c>
      <c r="D108">
        <v>9</v>
      </c>
    </row>
    <row r="109" spans="1:4" x14ac:dyDescent="0.3">
      <c r="A109">
        <v>108</v>
      </c>
      <c r="B109">
        <v>34</v>
      </c>
      <c r="C109">
        <v>12</v>
      </c>
      <c r="D109">
        <v>1</v>
      </c>
    </row>
    <row r="110" spans="1:4" x14ac:dyDescent="0.3">
      <c r="A110">
        <v>109</v>
      </c>
      <c r="B110">
        <v>90</v>
      </c>
      <c r="C110">
        <v>16</v>
      </c>
      <c r="D110">
        <v>4</v>
      </c>
    </row>
    <row r="111" spans="1:4" x14ac:dyDescent="0.3">
      <c r="A111">
        <v>110</v>
      </c>
      <c r="B111">
        <v>42</v>
      </c>
      <c r="C111">
        <v>1</v>
      </c>
      <c r="D111">
        <v>6</v>
      </c>
    </row>
    <row r="112" spans="1:4" x14ac:dyDescent="0.3">
      <c r="A112">
        <v>111</v>
      </c>
      <c r="B112">
        <v>44</v>
      </c>
      <c r="C112">
        <v>10</v>
      </c>
      <c r="D112">
        <v>10</v>
      </c>
    </row>
    <row r="113" spans="1:4" x14ac:dyDescent="0.3">
      <c r="A113">
        <v>112</v>
      </c>
      <c r="B113">
        <v>62</v>
      </c>
      <c r="C113">
        <v>18</v>
      </c>
      <c r="D113">
        <v>9</v>
      </c>
    </row>
    <row r="114" spans="1:4" x14ac:dyDescent="0.3">
      <c r="A114">
        <v>113</v>
      </c>
      <c r="B114">
        <v>41</v>
      </c>
      <c r="C114">
        <v>10</v>
      </c>
      <c r="D114">
        <v>1</v>
      </c>
    </row>
    <row r="115" spans="1:4" x14ac:dyDescent="0.3">
      <c r="A115">
        <v>114</v>
      </c>
      <c r="B115">
        <v>44</v>
      </c>
      <c r="C115">
        <v>13</v>
      </c>
      <c r="D115">
        <v>8</v>
      </c>
    </row>
    <row r="116" spans="1:4" x14ac:dyDescent="0.3">
      <c r="A116">
        <v>115</v>
      </c>
      <c r="B116">
        <v>48</v>
      </c>
      <c r="C116">
        <v>19</v>
      </c>
      <c r="D116">
        <v>9</v>
      </c>
    </row>
    <row r="117" spans="1:4" x14ac:dyDescent="0.3">
      <c r="A117">
        <v>116</v>
      </c>
      <c r="B117">
        <v>82</v>
      </c>
      <c r="C117">
        <v>25</v>
      </c>
      <c r="D117">
        <v>9</v>
      </c>
    </row>
    <row r="118" spans="1:4" x14ac:dyDescent="0.3">
      <c r="A118">
        <v>117</v>
      </c>
      <c r="B118">
        <v>22</v>
      </c>
      <c r="C118">
        <v>23</v>
      </c>
      <c r="D118">
        <v>4</v>
      </c>
    </row>
    <row r="119" spans="1:4" x14ac:dyDescent="0.3">
      <c r="A119">
        <v>118</v>
      </c>
      <c r="B119">
        <v>35</v>
      </c>
      <c r="C119">
        <v>2</v>
      </c>
      <c r="D119">
        <v>2</v>
      </c>
    </row>
    <row r="120" spans="1:4" x14ac:dyDescent="0.3">
      <c r="A120">
        <v>119</v>
      </c>
      <c r="B120">
        <v>39</v>
      </c>
      <c r="C120">
        <v>23</v>
      </c>
      <c r="D120">
        <v>8</v>
      </c>
    </row>
    <row r="121" spans="1:4" x14ac:dyDescent="0.3">
      <c r="A121">
        <v>120</v>
      </c>
      <c r="B121">
        <v>6</v>
      </c>
      <c r="C121">
        <v>14</v>
      </c>
      <c r="D121">
        <v>9</v>
      </c>
    </row>
    <row r="122" spans="1:4" x14ac:dyDescent="0.3">
      <c r="A122">
        <v>121</v>
      </c>
      <c r="B122">
        <v>18</v>
      </c>
      <c r="C122">
        <v>6</v>
      </c>
      <c r="D122">
        <v>2</v>
      </c>
    </row>
    <row r="123" spans="1:4" x14ac:dyDescent="0.3">
      <c r="A123">
        <v>122</v>
      </c>
      <c r="B123">
        <v>67</v>
      </c>
      <c r="C123">
        <v>11</v>
      </c>
      <c r="D123">
        <v>7</v>
      </c>
    </row>
    <row r="124" spans="1:4" x14ac:dyDescent="0.3">
      <c r="A124">
        <v>123</v>
      </c>
      <c r="B124">
        <v>98</v>
      </c>
      <c r="C124">
        <v>12</v>
      </c>
      <c r="D124">
        <v>3</v>
      </c>
    </row>
    <row r="125" spans="1:4" x14ac:dyDescent="0.3">
      <c r="A125">
        <v>124</v>
      </c>
      <c r="B125">
        <v>94</v>
      </c>
      <c r="C125">
        <v>16</v>
      </c>
      <c r="D125">
        <v>4</v>
      </c>
    </row>
    <row r="126" spans="1:4" x14ac:dyDescent="0.3">
      <c r="A126">
        <v>125</v>
      </c>
      <c r="B126">
        <v>88</v>
      </c>
      <c r="C126">
        <v>9</v>
      </c>
      <c r="D126">
        <v>6</v>
      </c>
    </row>
    <row r="127" spans="1:4" x14ac:dyDescent="0.3">
      <c r="A127">
        <v>126</v>
      </c>
      <c r="B127">
        <v>29</v>
      </c>
      <c r="C127">
        <v>18</v>
      </c>
      <c r="D127">
        <v>4</v>
      </c>
    </row>
    <row r="128" spans="1:4" x14ac:dyDescent="0.3">
      <c r="A128">
        <v>127</v>
      </c>
      <c r="B128">
        <v>4</v>
      </c>
      <c r="C128">
        <v>17</v>
      </c>
      <c r="D128">
        <v>5</v>
      </c>
    </row>
    <row r="129" spans="1:4" x14ac:dyDescent="0.3">
      <c r="A129">
        <v>128</v>
      </c>
      <c r="B129">
        <v>34</v>
      </c>
      <c r="C129">
        <v>13</v>
      </c>
      <c r="D129">
        <v>5</v>
      </c>
    </row>
    <row r="130" spans="1:4" x14ac:dyDescent="0.3">
      <c r="A130">
        <v>129</v>
      </c>
      <c r="B130">
        <v>10</v>
      </c>
      <c r="C130">
        <v>20</v>
      </c>
      <c r="D130">
        <v>4</v>
      </c>
    </row>
    <row r="131" spans="1:4" x14ac:dyDescent="0.3">
      <c r="A131">
        <v>130</v>
      </c>
      <c r="B131">
        <v>11</v>
      </c>
      <c r="C131">
        <v>6</v>
      </c>
      <c r="D131">
        <v>6</v>
      </c>
    </row>
    <row r="132" spans="1:4" x14ac:dyDescent="0.3">
      <c r="A132">
        <v>131</v>
      </c>
      <c r="B132">
        <v>88</v>
      </c>
      <c r="C132">
        <v>13</v>
      </c>
      <c r="D132">
        <v>10</v>
      </c>
    </row>
    <row r="133" spans="1:4" x14ac:dyDescent="0.3">
      <c r="A133">
        <v>132</v>
      </c>
      <c r="B133">
        <v>45</v>
      </c>
      <c r="C133">
        <v>16</v>
      </c>
      <c r="D133">
        <v>6</v>
      </c>
    </row>
    <row r="134" spans="1:4" x14ac:dyDescent="0.3">
      <c r="A134">
        <v>133</v>
      </c>
      <c r="B134">
        <v>52</v>
      </c>
      <c r="C134">
        <v>5</v>
      </c>
      <c r="D134">
        <v>9</v>
      </c>
    </row>
    <row r="135" spans="1:4" x14ac:dyDescent="0.3">
      <c r="A135">
        <v>134</v>
      </c>
      <c r="B135">
        <v>10</v>
      </c>
      <c r="C135">
        <v>23</v>
      </c>
      <c r="D135">
        <v>10</v>
      </c>
    </row>
    <row r="136" spans="1:4" x14ac:dyDescent="0.3">
      <c r="A136">
        <v>135</v>
      </c>
      <c r="B136">
        <v>100</v>
      </c>
      <c r="C136">
        <v>9</v>
      </c>
      <c r="D136">
        <v>3</v>
      </c>
    </row>
    <row r="137" spans="1:4" x14ac:dyDescent="0.3">
      <c r="A137">
        <v>136</v>
      </c>
      <c r="B137">
        <v>84</v>
      </c>
      <c r="C137">
        <v>8</v>
      </c>
      <c r="D137">
        <v>8</v>
      </c>
    </row>
    <row r="138" spans="1:4" x14ac:dyDescent="0.3">
      <c r="A138">
        <v>137</v>
      </c>
      <c r="B138">
        <v>63</v>
      </c>
      <c r="C138">
        <v>19</v>
      </c>
      <c r="D138">
        <v>8</v>
      </c>
    </row>
    <row r="139" spans="1:4" x14ac:dyDescent="0.3">
      <c r="A139">
        <v>138</v>
      </c>
      <c r="B139">
        <v>28</v>
      </c>
      <c r="C139">
        <v>16</v>
      </c>
      <c r="D139">
        <v>1</v>
      </c>
    </row>
    <row r="140" spans="1:4" x14ac:dyDescent="0.3">
      <c r="A140">
        <v>139</v>
      </c>
      <c r="B140">
        <v>15</v>
      </c>
      <c r="C140">
        <v>1</v>
      </c>
      <c r="D140">
        <v>8</v>
      </c>
    </row>
    <row r="141" spans="1:4" x14ac:dyDescent="0.3">
      <c r="A141">
        <v>140</v>
      </c>
      <c r="B141">
        <v>85</v>
      </c>
      <c r="C141">
        <v>22</v>
      </c>
      <c r="D141">
        <v>7</v>
      </c>
    </row>
    <row r="142" spans="1:4" x14ac:dyDescent="0.3">
      <c r="A142">
        <v>141</v>
      </c>
      <c r="B142">
        <v>18</v>
      </c>
      <c r="C142">
        <v>17</v>
      </c>
      <c r="D142">
        <v>4</v>
      </c>
    </row>
    <row r="143" spans="1:4" x14ac:dyDescent="0.3">
      <c r="A143">
        <v>142</v>
      </c>
      <c r="B143">
        <v>88</v>
      </c>
      <c r="C143">
        <v>8</v>
      </c>
      <c r="D143">
        <v>2</v>
      </c>
    </row>
    <row r="144" spans="1:4" x14ac:dyDescent="0.3">
      <c r="A144">
        <v>143</v>
      </c>
      <c r="B144">
        <v>35</v>
      </c>
      <c r="C144">
        <v>8</v>
      </c>
      <c r="D144">
        <v>9</v>
      </c>
    </row>
    <row r="145" spans="1:4" x14ac:dyDescent="0.3">
      <c r="A145">
        <v>144</v>
      </c>
      <c r="B145">
        <v>83</v>
      </c>
      <c r="C145">
        <v>6</v>
      </c>
      <c r="D145">
        <v>3</v>
      </c>
    </row>
    <row r="146" spans="1:4" x14ac:dyDescent="0.3">
      <c r="A146">
        <v>145</v>
      </c>
      <c r="B146">
        <v>86</v>
      </c>
      <c r="C146">
        <v>15</v>
      </c>
      <c r="D146">
        <v>6</v>
      </c>
    </row>
    <row r="147" spans="1:4" x14ac:dyDescent="0.3">
      <c r="A147">
        <v>146</v>
      </c>
      <c r="B147">
        <v>96</v>
      </c>
      <c r="C147">
        <v>19</v>
      </c>
      <c r="D147">
        <v>10</v>
      </c>
    </row>
    <row r="148" spans="1:4" x14ac:dyDescent="0.3">
      <c r="A148">
        <v>147</v>
      </c>
      <c r="B148">
        <v>84</v>
      </c>
      <c r="C148">
        <v>12</v>
      </c>
      <c r="D148">
        <v>1</v>
      </c>
    </row>
    <row r="149" spans="1:4" x14ac:dyDescent="0.3">
      <c r="A149">
        <v>148</v>
      </c>
      <c r="B149">
        <v>25</v>
      </c>
      <c r="C149">
        <v>16</v>
      </c>
      <c r="D149">
        <v>8</v>
      </c>
    </row>
    <row r="150" spans="1:4" x14ac:dyDescent="0.3">
      <c r="A150">
        <v>149</v>
      </c>
      <c r="B150">
        <v>64</v>
      </c>
      <c r="C150">
        <v>17</v>
      </c>
      <c r="D150">
        <v>6</v>
      </c>
    </row>
    <row r="151" spans="1:4" x14ac:dyDescent="0.3">
      <c r="A151">
        <v>150</v>
      </c>
      <c r="B151">
        <v>79</v>
      </c>
      <c r="C151">
        <v>24</v>
      </c>
      <c r="D151">
        <v>10</v>
      </c>
    </row>
    <row r="152" spans="1:4" x14ac:dyDescent="0.3">
      <c r="A152">
        <v>151</v>
      </c>
      <c r="B152">
        <v>50</v>
      </c>
      <c r="C152">
        <v>17</v>
      </c>
      <c r="D152">
        <v>4</v>
      </c>
    </row>
    <row r="153" spans="1:4" x14ac:dyDescent="0.3">
      <c r="A153">
        <v>152</v>
      </c>
      <c r="B153">
        <v>1</v>
      </c>
      <c r="C153">
        <v>1</v>
      </c>
      <c r="D153">
        <v>9</v>
      </c>
    </row>
    <row r="154" spans="1:4" x14ac:dyDescent="0.3">
      <c r="A154">
        <v>153</v>
      </c>
      <c r="B154">
        <v>53</v>
      </c>
      <c r="C154">
        <v>6</v>
      </c>
      <c r="D154">
        <v>5</v>
      </c>
    </row>
    <row r="155" spans="1:4" x14ac:dyDescent="0.3">
      <c r="A155">
        <v>154</v>
      </c>
      <c r="B155">
        <v>98</v>
      </c>
      <c r="C155">
        <v>14</v>
      </c>
      <c r="D155">
        <v>6</v>
      </c>
    </row>
    <row r="156" spans="1:4" x14ac:dyDescent="0.3">
      <c r="A156">
        <v>155</v>
      </c>
      <c r="B156">
        <v>3</v>
      </c>
      <c r="C156">
        <v>16</v>
      </c>
      <c r="D156">
        <v>4</v>
      </c>
    </row>
    <row r="157" spans="1:4" x14ac:dyDescent="0.3">
      <c r="A157">
        <v>156</v>
      </c>
      <c r="B157">
        <v>96</v>
      </c>
      <c r="C157">
        <v>11</v>
      </c>
      <c r="D157">
        <v>7</v>
      </c>
    </row>
    <row r="158" spans="1:4" x14ac:dyDescent="0.3">
      <c r="A158">
        <v>157</v>
      </c>
      <c r="B158">
        <v>72</v>
      </c>
      <c r="C158">
        <v>24</v>
      </c>
      <c r="D158">
        <v>5</v>
      </c>
    </row>
    <row r="159" spans="1:4" x14ac:dyDescent="0.3">
      <c r="A159">
        <v>158</v>
      </c>
      <c r="B159">
        <v>63</v>
      </c>
      <c r="C159">
        <v>10</v>
      </c>
      <c r="D159">
        <v>1</v>
      </c>
    </row>
    <row r="160" spans="1:4" x14ac:dyDescent="0.3">
      <c r="A160">
        <v>159</v>
      </c>
      <c r="B160">
        <v>42</v>
      </c>
      <c r="C160">
        <v>21</v>
      </c>
      <c r="D160">
        <v>3</v>
      </c>
    </row>
    <row r="161" spans="1:4" x14ac:dyDescent="0.3">
      <c r="A161">
        <v>160</v>
      </c>
      <c r="B161">
        <v>80</v>
      </c>
      <c r="C161">
        <v>14</v>
      </c>
      <c r="D161">
        <v>3</v>
      </c>
    </row>
    <row r="162" spans="1:4" x14ac:dyDescent="0.3">
      <c r="A162">
        <v>161</v>
      </c>
      <c r="B162">
        <v>57</v>
      </c>
      <c r="C162">
        <v>25</v>
      </c>
      <c r="D162">
        <v>10</v>
      </c>
    </row>
    <row r="163" spans="1:4" x14ac:dyDescent="0.3">
      <c r="A163">
        <v>162</v>
      </c>
      <c r="B163">
        <v>74</v>
      </c>
      <c r="C163">
        <v>14</v>
      </c>
      <c r="D163">
        <v>7</v>
      </c>
    </row>
    <row r="164" spans="1:4" x14ac:dyDescent="0.3">
      <c r="A164">
        <v>163</v>
      </c>
      <c r="B164">
        <v>98</v>
      </c>
      <c r="C164">
        <v>9</v>
      </c>
      <c r="D164">
        <v>3</v>
      </c>
    </row>
    <row r="165" spans="1:4" x14ac:dyDescent="0.3">
      <c r="A165">
        <v>164</v>
      </c>
      <c r="B165">
        <v>77</v>
      </c>
      <c r="C165">
        <v>21</v>
      </c>
      <c r="D165">
        <v>5</v>
      </c>
    </row>
    <row r="166" spans="1:4" x14ac:dyDescent="0.3">
      <c r="A166">
        <v>165</v>
      </c>
      <c r="B166">
        <v>71</v>
      </c>
      <c r="C166">
        <v>2</v>
      </c>
      <c r="D166">
        <v>3</v>
      </c>
    </row>
    <row r="167" spans="1:4" x14ac:dyDescent="0.3">
      <c r="A167">
        <v>166</v>
      </c>
      <c r="B167">
        <v>67</v>
      </c>
      <c r="C167">
        <v>9</v>
      </c>
      <c r="D167">
        <v>7</v>
      </c>
    </row>
    <row r="168" spans="1:4" x14ac:dyDescent="0.3">
      <c r="A168">
        <v>167</v>
      </c>
      <c r="B168">
        <v>5</v>
      </c>
      <c r="C168">
        <v>11</v>
      </c>
      <c r="D168">
        <v>7</v>
      </c>
    </row>
    <row r="169" spans="1:4" x14ac:dyDescent="0.3">
      <c r="A169">
        <v>168</v>
      </c>
      <c r="B169">
        <v>24</v>
      </c>
      <c r="C169">
        <v>23</v>
      </c>
      <c r="D169">
        <v>4</v>
      </c>
    </row>
    <row r="170" spans="1:4" x14ac:dyDescent="0.3">
      <c r="A170">
        <v>169</v>
      </c>
      <c r="B170">
        <v>84</v>
      </c>
      <c r="C170">
        <v>9</v>
      </c>
      <c r="D170">
        <v>1</v>
      </c>
    </row>
    <row r="171" spans="1:4" x14ac:dyDescent="0.3">
      <c r="A171">
        <v>170</v>
      </c>
      <c r="B171">
        <v>37</v>
      </c>
      <c r="C171">
        <v>16</v>
      </c>
      <c r="D171">
        <v>5</v>
      </c>
    </row>
    <row r="172" spans="1:4" x14ac:dyDescent="0.3">
      <c r="A172">
        <v>171</v>
      </c>
      <c r="B172">
        <v>4</v>
      </c>
      <c r="C172">
        <v>8</v>
      </c>
      <c r="D172">
        <v>8</v>
      </c>
    </row>
    <row r="173" spans="1:4" x14ac:dyDescent="0.3">
      <c r="A173">
        <v>172</v>
      </c>
      <c r="B173">
        <v>3</v>
      </c>
      <c r="C173">
        <v>21</v>
      </c>
      <c r="D173">
        <v>4</v>
      </c>
    </row>
    <row r="174" spans="1:4" x14ac:dyDescent="0.3">
      <c r="A174">
        <v>173</v>
      </c>
      <c r="B174">
        <v>82</v>
      </c>
      <c r="C174">
        <v>23</v>
      </c>
      <c r="D174">
        <v>3</v>
      </c>
    </row>
    <row r="175" spans="1:4" x14ac:dyDescent="0.3">
      <c r="A175">
        <v>174</v>
      </c>
      <c r="B175">
        <v>65</v>
      </c>
      <c r="C175">
        <v>11</v>
      </c>
      <c r="D175">
        <v>3</v>
      </c>
    </row>
    <row r="176" spans="1:4" x14ac:dyDescent="0.3">
      <c r="A176">
        <v>175</v>
      </c>
      <c r="B176">
        <v>24</v>
      </c>
      <c r="C176">
        <v>9</v>
      </c>
      <c r="D176">
        <v>2</v>
      </c>
    </row>
    <row r="177" spans="1:4" x14ac:dyDescent="0.3">
      <c r="A177">
        <v>176</v>
      </c>
      <c r="B177">
        <v>13</v>
      </c>
      <c r="C177">
        <v>1</v>
      </c>
      <c r="D177">
        <v>9</v>
      </c>
    </row>
    <row r="178" spans="1:4" x14ac:dyDescent="0.3">
      <c r="A178">
        <v>177</v>
      </c>
      <c r="B178">
        <v>77</v>
      </c>
      <c r="C178">
        <v>12</v>
      </c>
      <c r="D178">
        <v>6</v>
      </c>
    </row>
    <row r="179" spans="1:4" x14ac:dyDescent="0.3">
      <c r="A179">
        <v>178</v>
      </c>
      <c r="B179">
        <v>17</v>
      </c>
      <c r="C179">
        <v>8</v>
      </c>
      <c r="D179">
        <v>1</v>
      </c>
    </row>
    <row r="180" spans="1:4" x14ac:dyDescent="0.3">
      <c r="A180">
        <v>179</v>
      </c>
      <c r="B180">
        <v>99</v>
      </c>
      <c r="C180">
        <v>15</v>
      </c>
      <c r="D180">
        <v>3</v>
      </c>
    </row>
    <row r="181" spans="1:4" x14ac:dyDescent="0.3">
      <c r="A181">
        <v>180</v>
      </c>
      <c r="B181">
        <v>8</v>
      </c>
      <c r="C181">
        <v>14</v>
      </c>
      <c r="D181">
        <v>9</v>
      </c>
    </row>
    <row r="182" spans="1:4" x14ac:dyDescent="0.3">
      <c r="A182">
        <v>181</v>
      </c>
      <c r="B182">
        <v>25</v>
      </c>
      <c r="C182">
        <v>25</v>
      </c>
      <c r="D182">
        <v>2</v>
      </c>
    </row>
    <row r="183" spans="1:4" x14ac:dyDescent="0.3">
      <c r="A183">
        <v>182</v>
      </c>
      <c r="B183">
        <v>54</v>
      </c>
      <c r="C183">
        <v>20</v>
      </c>
      <c r="D183">
        <v>10</v>
      </c>
    </row>
    <row r="184" spans="1:4" x14ac:dyDescent="0.3">
      <c r="A184">
        <v>183</v>
      </c>
      <c r="B184">
        <v>78</v>
      </c>
      <c r="C184">
        <v>1</v>
      </c>
      <c r="D184">
        <v>6</v>
      </c>
    </row>
    <row r="185" spans="1:4" x14ac:dyDescent="0.3">
      <c r="A185">
        <v>184</v>
      </c>
      <c r="B185">
        <v>81</v>
      </c>
      <c r="C185">
        <v>11</v>
      </c>
      <c r="D185">
        <v>9</v>
      </c>
    </row>
    <row r="186" spans="1:4" x14ac:dyDescent="0.3">
      <c r="A186">
        <v>185</v>
      </c>
      <c r="B186">
        <v>23</v>
      </c>
      <c r="C186">
        <v>19</v>
      </c>
      <c r="D186">
        <v>1</v>
      </c>
    </row>
    <row r="187" spans="1:4" x14ac:dyDescent="0.3">
      <c r="A187">
        <v>186</v>
      </c>
      <c r="B187">
        <v>60</v>
      </c>
      <c r="C187">
        <v>18</v>
      </c>
      <c r="D187">
        <v>9</v>
      </c>
    </row>
    <row r="188" spans="1:4" x14ac:dyDescent="0.3">
      <c r="A188">
        <v>187</v>
      </c>
      <c r="B188">
        <v>22</v>
      </c>
      <c r="C188">
        <v>1</v>
      </c>
      <c r="D188">
        <v>5</v>
      </c>
    </row>
    <row r="189" spans="1:4" x14ac:dyDescent="0.3">
      <c r="A189">
        <v>188</v>
      </c>
      <c r="B189">
        <v>96</v>
      </c>
      <c r="C189">
        <v>4</v>
      </c>
      <c r="D189">
        <v>8</v>
      </c>
    </row>
    <row r="190" spans="1:4" x14ac:dyDescent="0.3">
      <c r="A190">
        <v>189</v>
      </c>
      <c r="B190">
        <v>4</v>
      </c>
      <c r="C190">
        <v>10</v>
      </c>
      <c r="D190">
        <v>8</v>
      </c>
    </row>
    <row r="191" spans="1:4" x14ac:dyDescent="0.3">
      <c r="A191">
        <v>190</v>
      </c>
      <c r="B191">
        <v>60</v>
      </c>
      <c r="C191">
        <v>4</v>
      </c>
      <c r="D191">
        <v>4</v>
      </c>
    </row>
    <row r="192" spans="1:4" x14ac:dyDescent="0.3">
      <c r="A192">
        <v>191</v>
      </c>
      <c r="B192">
        <v>90</v>
      </c>
      <c r="C192">
        <v>19</v>
      </c>
      <c r="D192">
        <v>10</v>
      </c>
    </row>
    <row r="193" spans="1:4" x14ac:dyDescent="0.3">
      <c r="A193">
        <v>192</v>
      </c>
      <c r="B193">
        <v>13</v>
      </c>
      <c r="C193">
        <v>5</v>
      </c>
      <c r="D193">
        <v>5</v>
      </c>
    </row>
    <row r="194" spans="1:4" x14ac:dyDescent="0.3">
      <c r="A194">
        <v>193</v>
      </c>
      <c r="B194">
        <v>72</v>
      </c>
      <c r="C194">
        <v>6</v>
      </c>
      <c r="D194">
        <v>6</v>
      </c>
    </row>
    <row r="195" spans="1:4" x14ac:dyDescent="0.3">
      <c r="A195">
        <v>194</v>
      </c>
      <c r="B195">
        <v>92</v>
      </c>
      <c r="C195">
        <v>16</v>
      </c>
      <c r="D195">
        <v>6</v>
      </c>
    </row>
    <row r="196" spans="1:4" x14ac:dyDescent="0.3">
      <c r="A196">
        <v>195</v>
      </c>
      <c r="B196">
        <v>71</v>
      </c>
      <c r="C196">
        <v>13</v>
      </c>
      <c r="D196">
        <v>9</v>
      </c>
    </row>
    <row r="197" spans="1:4" x14ac:dyDescent="0.3">
      <c r="A197">
        <v>196</v>
      </c>
      <c r="B197">
        <v>96</v>
      </c>
      <c r="C197">
        <v>5</v>
      </c>
      <c r="D197">
        <v>7</v>
      </c>
    </row>
    <row r="198" spans="1:4" x14ac:dyDescent="0.3">
      <c r="A198">
        <v>197</v>
      </c>
      <c r="B198">
        <v>11</v>
      </c>
      <c r="C198">
        <v>25</v>
      </c>
      <c r="D198">
        <v>7</v>
      </c>
    </row>
    <row r="199" spans="1:4" x14ac:dyDescent="0.3">
      <c r="A199">
        <v>198</v>
      </c>
      <c r="B199">
        <v>56</v>
      </c>
      <c r="C199">
        <v>14</v>
      </c>
      <c r="D199">
        <v>3</v>
      </c>
    </row>
    <row r="200" spans="1:4" x14ac:dyDescent="0.3">
      <c r="A200">
        <v>199</v>
      </c>
      <c r="B200">
        <v>90</v>
      </c>
      <c r="C200">
        <v>4</v>
      </c>
      <c r="D200">
        <v>5</v>
      </c>
    </row>
    <row r="201" spans="1:4" x14ac:dyDescent="0.3">
      <c r="A201">
        <v>200</v>
      </c>
      <c r="B201">
        <v>60</v>
      </c>
      <c r="C201">
        <v>25</v>
      </c>
      <c r="D201">
        <v>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A3515-52A0-4F6E-8C45-F8281CDAD59F}">
  <dimension ref="A1:D34"/>
  <sheetViews>
    <sheetView topLeftCell="C1" zoomScale="81" workbookViewId="0">
      <selection activeCell="P30" sqref="P30"/>
    </sheetView>
  </sheetViews>
  <sheetFormatPr defaultColWidth="8.796875" defaultRowHeight="15.6" x14ac:dyDescent="0.3"/>
  <cols>
    <col min="1" max="1" width="19.5" bestFit="1" customWidth="1"/>
    <col min="2" max="2" width="13.59765625" bestFit="1" customWidth="1"/>
    <col min="3" max="3" width="13" bestFit="1" customWidth="1"/>
    <col min="4" max="4" width="8.09765625" bestFit="1" customWidth="1"/>
  </cols>
  <sheetData>
    <row r="1" spans="1:4" x14ac:dyDescent="0.3">
      <c r="A1" s="14" t="s">
        <v>284</v>
      </c>
      <c r="B1" s="2" t="s">
        <v>179</v>
      </c>
      <c r="C1" t="s">
        <v>145</v>
      </c>
      <c r="D1" t="s">
        <v>181</v>
      </c>
    </row>
    <row r="2" spans="1:4" x14ac:dyDescent="0.3">
      <c r="A2" s="14"/>
      <c r="B2" s="3" t="s">
        <v>295</v>
      </c>
      <c r="C2" s="21"/>
      <c r="D2" s="21"/>
    </row>
    <row r="3" spans="1:4" x14ac:dyDescent="0.3">
      <c r="A3" s="14"/>
      <c r="B3" s="22" t="s">
        <v>167</v>
      </c>
      <c r="C3" s="21">
        <v>46</v>
      </c>
      <c r="D3" s="21">
        <v>356.54000000000008</v>
      </c>
    </row>
    <row r="4" spans="1:4" x14ac:dyDescent="0.3">
      <c r="A4" s="15" t="s">
        <v>289</v>
      </c>
      <c r="B4" s="22" t="s">
        <v>168</v>
      </c>
      <c r="C4" s="21">
        <v>38</v>
      </c>
      <c r="D4" s="21">
        <v>293.68</v>
      </c>
    </row>
    <row r="5" spans="1:4" x14ac:dyDescent="0.3">
      <c r="A5" s="16"/>
      <c r="B5" s="22" t="s">
        <v>169</v>
      </c>
      <c r="C5" s="21">
        <v>31</v>
      </c>
      <c r="D5" s="21">
        <v>403.69</v>
      </c>
    </row>
    <row r="6" spans="1:4" x14ac:dyDescent="0.3">
      <c r="A6" s="17"/>
      <c r="B6" s="22" t="s">
        <v>170</v>
      </c>
      <c r="C6" s="21">
        <v>71</v>
      </c>
      <c r="D6" s="21">
        <v>562.80999999999995</v>
      </c>
    </row>
    <row r="7" spans="1:4" x14ac:dyDescent="0.3">
      <c r="B7" s="22" t="s">
        <v>171</v>
      </c>
      <c r="C7" s="21">
        <v>29</v>
      </c>
      <c r="D7" s="21">
        <v>164.98999999999998</v>
      </c>
    </row>
    <row r="8" spans="1:4" ht="15.45" customHeight="1" x14ac:dyDescent="0.3">
      <c r="A8" s="11"/>
      <c r="B8" s="22" t="s">
        <v>172</v>
      </c>
      <c r="C8" s="21">
        <v>25</v>
      </c>
      <c r="D8" s="21">
        <v>120.55</v>
      </c>
    </row>
    <row r="9" spans="1:4" x14ac:dyDescent="0.3">
      <c r="B9" s="22" t="s">
        <v>173</v>
      </c>
      <c r="C9" s="21">
        <v>17</v>
      </c>
      <c r="D9" s="21">
        <v>96.830000000000013</v>
      </c>
    </row>
    <row r="10" spans="1:4" x14ac:dyDescent="0.3">
      <c r="B10" s="22" t="s">
        <v>174</v>
      </c>
      <c r="C10" s="21">
        <v>57</v>
      </c>
      <c r="D10" s="21">
        <v>610.45000000000005</v>
      </c>
    </row>
    <row r="11" spans="1:4" x14ac:dyDescent="0.3">
      <c r="B11" s="22" t="s">
        <v>175</v>
      </c>
      <c r="C11" s="21">
        <v>38</v>
      </c>
      <c r="D11" s="21">
        <v>293.62</v>
      </c>
    </row>
    <row r="12" spans="1:4" x14ac:dyDescent="0.3">
      <c r="B12" s="22" t="s">
        <v>176</v>
      </c>
      <c r="C12" s="21">
        <v>58</v>
      </c>
      <c r="D12" s="21">
        <v>458.92000000000007</v>
      </c>
    </row>
    <row r="13" spans="1:4" x14ac:dyDescent="0.3">
      <c r="B13" s="22" t="s">
        <v>177</v>
      </c>
      <c r="C13" s="21">
        <v>39</v>
      </c>
      <c r="D13" s="21">
        <v>387.93</v>
      </c>
    </row>
    <row r="14" spans="1:4" x14ac:dyDescent="0.3">
      <c r="B14" s="3" t="s">
        <v>296</v>
      </c>
      <c r="C14" s="21"/>
      <c r="D14" s="21"/>
    </row>
    <row r="15" spans="1:4" x14ac:dyDescent="0.3">
      <c r="B15" s="22" t="s">
        <v>167</v>
      </c>
      <c r="C15" s="21">
        <v>77</v>
      </c>
      <c r="D15" s="21">
        <v>585.53</v>
      </c>
    </row>
    <row r="16" spans="1:4" x14ac:dyDescent="0.3">
      <c r="B16" s="22" t="s">
        <v>169</v>
      </c>
      <c r="C16" s="21">
        <v>38</v>
      </c>
      <c r="D16" s="21">
        <v>266.62</v>
      </c>
    </row>
    <row r="17" spans="1:4" x14ac:dyDescent="0.3">
      <c r="B17" s="22" t="s">
        <v>170</v>
      </c>
      <c r="C17" s="21">
        <v>24</v>
      </c>
      <c r="D17" s="21">
        <v>212.26</v>
      </c>
    </row>
    <row r="18" spans="1:4" x14ac:dyDescent="0.3">
      <c r="B18" s="22" t="s">
        <v>171</v>
      </c>
      <c r="C18" s="21">
        <v>25</v>
      </c>
      <c r="D18" s="21">
        <v>150.31</v>
      </c>
    </row>
    <row r="19" spans="1:4" x14ac:dyDescent="0.3">
      <c r="B19" s="22" t="s">
        <v>172</v>
      </c>
      <c r="C19" s="21">
        <v>3</v>
      </c>
      <c r="D19" s="21">
        <v>14.97</v>
      </c>
    </row>
    <row r="20" spans="1:4" x14ac:dyDescent="0.3">
      <c r="A20" s="13" t="s">
        <v>290</v>
      </c>
      <c r="B20" s="22" t="s">
        <v>173</v>
      </c>
      <c r="C20" s="21">
        <v>51</v>
      </c>
      <c r="D20" s="21">
        <v>449.31</v>
      </c>
    </row>
    <row r="21" spans="1:4" x14ac:dyDescent="0.3">
      <c r="A21" s="13"/>
      <c r="B21" s="22" t="s">
        <v>174</v>
      </c>
      <c r="C21" s="21">
        <v>33</v>
      </c>
      <c r="D21" s="21">
        <v>218.51000000000002</v>
      </c>
    </row>
    <row r="22" spans="1:4" x14ac:dyDescent="0.3">
      <c r="A22" s="11"/>
      <c r="B22" s="22" t="s">
        <v>175</v>
      </c>
      <c r="C22" s="21">
        <v>25</v>
      </c>
      <c r="D22" s="21">
        <v>161.75</v>
      </c>
    </row>
    <row r="23" spans="1:4" x14ac:dyDescent="0.3">
      <c r="A23" s="13" t="s">
        <v>291</v>
      </c>
      <c r="B23" s="22" t="s">
        <v>176</v>
      </c>
      <c r="C23" s="21">
        <v>45</v>
      </c>
      <c r="D23" s="21">
        <v>375.05</v>
      </c>
    </row>
    <row r="24" spans="1:4" x14ac:dyDescent="0.3">
      <c r="A24" s="13"/>
      <c r="B24" s="22" t="s">
        <v>178</v>
      </c>
      <c r="C24" s="21">
        <v>49</v>
      </c>
      <c r="D24" s="21">
        <v>382.55</v>
      </c>
    </row>
    <row r="25" spans="1:4" x14ac:dyDescent="0.3">
      <c r="A25" s="11"/>
      <c r="B25" s="22" t="s">
        <v>177</v>
      </c>
      <c r="C25" s="21">
        <v>63</v>
      </c>
      <c r="D25" s="21">
        <v>378.93</v>
      </c>
    </row>
    <row r="26" spans="1:4" x14ac:dyDescent="0.3">
      <c r="A26" s="13" t="s">
        <v>292</v>
      </c>
      <c r="B26" s="3" t="s">
        <v>297</v>
      </c>
      <c r="C26" s="21"/>
      <c r="D26" s="21"/>
    </row>
    <row r="27" spans="1:4" x14ac:dyDescent="0.3">
      <c r="A27" s="13"/>
      <c r="B27" s="22" t="s">
        <v>167</v>
      </c>
      <c r="C27" s="21">
        <v>63</v>
      </c>
      <c r="D27" s="21">
        <v>425.87</v>
      </c>
    </row>
    <row r="28" spans="1:4" x14ac:dyDescent="0.3">
      <c r="A28" s="11"/>
      <c r="B28" s="22" t="s">
        <v>168</v>
      </c>
      <c r="C28" s="21">
        <v>25</v>
      </c>
      <c r="D28" s="21">
        <v>338.75</v>
      </c>
    </row>
    <row r="29" spans="1:4" x14ac:dyDescent="0.3">
      <c r="A29" s="13" t="s">
        <v>293</v>
      </c>
      <c r="B29" s="22" t="s">
        <v>169</v>
      </c>
      <c r="C29" s="21">
        <v>64</v>
      </c>
      <c r="D29" s="21">
        <v>529.8599999999999</v>
      </c>
    </row>
    <row r="30" spans="1:4" x14ac:dyDescent="0.3">
      <c r="A30" s="13"/>
      <c r="B30" s="22" t="s">
        <v>170</v>
      </c>
      <c r="C30" s="21">
        <v>71</v>
      </c>
      <c r="D30" s="21">
        <v>615.34999999999991</v>
      </c>
    </row>
    <row r="31" spans="1:4" x14ac:dyDescent="0.3">
      <c r="A31" s="11"/>
      <c r="B31" s="3" t="s">
        <v>180</v>
      </c>
      <c r="C31" s="21">
        <v>1105</v>
      </c>
      <c r="D31" s="21">
        <v>8855.6299999999919</v>
      </c>
    </row>
    <row r="32" spans="1:4" x14ac:dyDescent="0.3">
      <c r="A32" s="10" t="s">
        <v>294</v>
      </c>
    </row>
    <row r="33" spans="1:1" x14ac:dyDescent="0.3">
      <c r="A33" s="10"/>
    </row>
    <row r="34" spans="1:1" x14ac:dyDescent="0.3">
      <c r="A34" s="11"/>
    </row>
  </sheetData>
  <mergeCells count="6">
    <mergeCell ref="A29:A30"/>
    <mergeCell ref="A1:A3"/>
    <mergeCell ref="A4:A6"/>
    <mergeCell ref="A20:A21"/>
    <mergeCell ref="A23:A24"/>
    <mergeCell ref="A26:A27"/>
  </mergeCells>
  <hyperlinks>
    <hyperlink ref="A4:A6" location="Dashboard!A1" display="Dashboard" xr:uid="{93FCBA2E-76C1-4D75-B5A2-F731A6446802}"/>
    <hyperlink ref="A32:A33" location="Sales_item!A1" display="Data - Sales_item" xr:uid="{64B3F869-2B82-49E2-B47A-4B2057C6E7CB}"/>
    <hyperlink ref="A29:A30" location="Sales!A1" display="Data - Sales" xr:uid="{E4DB3D32-251F-42E5-A7F8-F27BE64D7152}"/>
    <hyperlink ref="A26:A27" location="'Customers'!A1" display="Data - Customers" xr:uid="{F94B701B-8D20-4C81-93A1-E75DFDEC7F25}"/>
    <hyperlink ref="A23:A24" location="Products!A1" display="Data - Products" xr:uid="{06DA179A-C98B-477E-B55B-022EDCF9A866}"/>
    <hyperlink ref="A20:A21" location="Categories!A1" display="Data - Categories" xr:uid="{21A06AD2-A218-410E-A253-1EB93D3258D2}"/>
  </hyperlinks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61AFF-B1EE-458A-BC92-5FD77679F50D}">
  <dimension ref="A1:C33"/>
  <sheetViews>
    <sheetView zoomScale="67" workbookViewId="0">
      <selection activeCell="L31" sqref="L31"/>
    </sheetView>
  </sheetViews>
  <sheetFormatPr defaultColWidth="8.796875" defaultRowHeight="15.6" x14ac:dyDescent="0.3"/>
  <cols>
    <col min="1" max="1" width="20.69921875" bestFit="1" customWidth="1"/>
    <col min="2" max="2" width="20.296875" bestFit="1" customWidth="1"/>
    <col min="3" max="3" width="14" bestFit="1" customWidth="1"/>
  </cols>
  <sheetData>
    <row r="1" spans="1:3" x14ac:dyDescent="0.3">
      <c r="A1" s="14" t="s">
        <v>284</v>
      </c>
      <c r="B1" s="2" t="s">
        <v>182</v>
      </c>
      <c r="C1" t="s">
        <v>183</v>
      </c>
    </row>
    <row r="2" spans="1:3" x14ac:dyDescent="0.3">
      <c r="A2" s="14"/>
      <c r="B2" s="3" t="s">
        <v>3</v>
      </c>
      <c r="C2" s="21">
        <v>279</v>
      </c>
    </row>
    <row r="3" spans="1:3" x14ac:dyDescent="0.3">
      <c r="A3" s="14"/>
      <c r="B3" s="3" t="s">
        <v>15</v>
      </c>
      <c r="C3" s="21">
        <v>62</v>
      </c>
    </row>
    <row r="4" spans="1:3" x14ac:dyDescent="0.3">
      <c r="A4" s="15" t="s">
        <v>289</v>
      </c>
      <c r="B4" s="3" t="s">
        <v>7</v>
      </c>
      <c r="C4" s="21">
        <v>135</v>
      </c>
    </row>
    <row r="5" spans="1:3" x14ac:dyDescent="0.3">
      <c r="A5" s="16"/>
      <c r="B5" s="3" t="s">
        <v>9</v>
      </c>
      <c r="C5" s="21">
        <v>100</v>
      </c>
    </row>
    <row r="6" spans="1:3" x14ac:dyDescent="0.3">
      <c r="A6" s="17"/>
      <c r="B6" s="3" t="s">
        <v>11</v>
      </c>
      <c r="C6" s="21">
        <v>78</v>
      </c>
    </row>
    <row r="7" spans="1:3" x14ac:dyDescent="0.3">
      <c r="B7" s="3" t="s">
        <v>13</v>
      </c>
      <c r="C7" s="21">
        <v>96</v>
      </c>
    </row>
    <row r="8" spans="1:3" x14ac:dyDescent="0.3">
      <c r="A8" s="11"/>
      <c r="B8" s="3" t="s">
        <v>21</v>
      </c>
      <c r="C8" s="21">
        <v>37</v>
      </c>
    </row>
    <row r="9" spans="1:3" x14ac:dyDescent="0.3">
      <c r="B9" s="3" t="s">
        <v>5</v>
      </c>
      <c r="C9" s="21">
        <v>212</v>
      </c>
    </row>
    <row r="10" spans="1:3" x14ac:dyDescent="0.3">
      <c r="B10" s="3" t="s">
        <v>19</v>
      </c>
      <c r="C10" s="21">
        <v>94</v>
      </c>
    </row>
    <row r="11" spans="1:3" x14ac:dyDescent="0.3">
      <c r="B11" s="3" t="s">
        <v>17</v>
      </c>
      <c r="C11" s="21">
        <v>12</v>
      </c>
    </row>
    <row r="12" spans="1:3" x14ac:dyDescent="0.3">
      <c r="B12" s="3" t="s">
        <v>180</v>
      </c>
      <c r="C12" s="21">
        <v>1105</v>
      </c>
    </row>
    <row r="20" spans="1:1" x14ac:dyDescent="0.3">
      <c r="A20" s="13" t="s">
        <v>290</v>
      </c>
    </row>
    <row r="21" spans="1:1" x14ac:dyDescent="0.3">
      <c r="A21" s="13"/>
    </row>
    <row r="22" spans="1:1" x14ac:dyDescent="0.3">
      <c r="A22" s="11"/>
    </row>
    <row r="23" spans="1:1" x14ac:dyDescent="0.3">
      <c r="A23" s="13" t="s">
        <v>291</v>
      </c>
    </row>
    <row r="24" spans="1:1" x14ac:dyDescent="0.3">
      <c r="A24" s="13"/>
    </row>
    <row r="25" spans="1:1" x14ac:dyDescent="0.3">
      <c r="A25" s="11"/>
    </row>
    <row r="26" spans="1:1" x14ac:dyDescent="0.3">
      <c r="A26" s="13" t="s">
        <v>292</v>
      </c>
    </row>
    <row r="27" spans="1:1" x14ac:dyDescent="0.3">
      <c r="A27" s="13"/>
    </row>
    <row r="28" spans="1:1" x14ac:dyDescent="0.3">
      <c r="A28" s="11"/>
    </row>
    <row r="29" spans="1:1" x14ac:dyDescent="0.3">
      <c r="A29" s="13" t="s">
        <v>293</v>
      </c>
    </row>
    <row r="30" spans="1:1" x14ac:dyDescent="0.3">
      <c r="A30" s="13"/>
    </row>
    <row r="31" spans="1:1" x14ac:dyDescent="0.3">
      <c r="A31" s="11"/>
    </row>
    <row r="32" spans="1:1" x14ac:dyDescent="0.3">
      <c r="A32" s="10" t="s">
        <v>294</v>
      </c>
    </row>
    <row r="33" spans="1:1" x14ac:dyDescent="0.3">
      <c r="A33" s="10"/>
    </row>
  </sheetData>
  <mergeCells count="6">
    <mergeCell ref="A29:A30"/>
    <mergeCell ref="A1:A3"/>
    <mergeCell ref="A4:A6"/>
    <mergeCell ref="A20:A21"/>
    <mergeCell ref="A23:A24"/>
    <mergeCell ref="A26:A27"/>
  </mergeCells>
  <hyperlinks>
    <hyperlink ref="A4:A6" location="Dashboard!A1" display="Dashboard" xr:uid="{7D6B31B0-0CB3-4110-AD7E-A865823047E2}"/>
    <hyperlink ref="A32:A33" location="Sales_item!A1" display="Data - Sales_item" xr:uid="{8F58E5C3-37CC-43F6-86BA-8C4FCDB87682}"/>
    <hyperlink ref="A29:A30" location="Sales!A1" display="Data - Sales" xr:uid="{B07164A2-34F1-4C25-8F99-2BFAABCEA39F}"/>
    <hyperlink ref="A26:A27" location="'Customers'!A1" display="Data - Customers" xr:uid="{31E52DE3-C0DC-4BAA-9D7B-680E1234D7D2}"/>
    <hyperlink ref="A23:A24" location="Products!A1" display="Data - Products" xr:uid="{DB2F4C7F-DB5D-4F29-B4AD-49D97523BA96}"/>
    <hyperlink ref="A20:A21" location="Categories!A1" display="Data - Categories" xr:uid="{25D8D5A4-20E6-46A3-B9C5-F3F97504C49D}"/>
  </hyperlinks>
  <pageMargins left="0.7" right="0.7" top="0.75" bottom="0.75" header="0.3" footer="0.3"/>
  <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D116A-F85C-4518-9E57-EF951B470C33}">
  <dimension ref="A1:C33"/>
  <sheetViews>
    <sheetView zoomScale="62" workbookViewId="0">
      <selection sqref="A1:A1048576"/>
    </sheetView>
  </sheetViews>
  <sheetFormatPr defaultColWidth="8.796875" defaultRowHeight="15.6" x14ac:dyDescent="0.3"/>
  <cols>
    <col min="1" max="1" width="20.69921875" bestFit="1" customWidth="1"/>
    <col min="2" max="2" width="8.19921875" bestFit="1" customWidth="1"/>
    <col min="3" max="3" width="14.796875" bestFit="1" customWidth="1"/>
    <col min="4" max="4" width="24.796875" bestFit="1" customWidth="1"/>
  </cols>
  <sheetData>
    <row r="1" spans="1:3" x14ac:dyDescent="0.3">
      <c r="A1" s="14" t="s">
        <v>284</v>
      </c>
      <c r="B1" s="2" t="s">
        <v>283</v>
      </c>
      <c r="C1" t="s">
        <v>282</v>
      </c>
    </row>
    <row r="2" spans="1:3" x14ac:dyDescent="0.3">
      <c r="A2" s="14"/>
      <c r="B2" s="3">
        <v>9</v>
      </c>
      <c r="C2" s="21">
        <v>12</v>
      </c>
    </row>
    <row r="3" spans="1:3" x14ac:dyDescent="0.3">
      <c r="A3" s="14"/>
      <c r="B3" s="3">
        <v>10</v>
      </c>
      <c r="C3" s="21">
        <v>10</v>
      </c>
    </row>
    <row r="4" spans="1:3" x14ac:dyDescent="0.3">
      <c r="A4" s="15" t="s">
        <v>289</v>
      </c>
      <c r="B4" s="3">
        <v>11</v>
      </c>
      <c r="C4" s="21">
        <v>6</v>
      </c>
    </row>
    <row r="5" spans="1:3" x14ac:dyDescent="0.3">
      <c r="A5" s="16"/>
      <c r="B5" s="3">
        <v>12</v>
      </c>
      <c r="C5" s="21">
        <v>4</v>
      </c>
    </row>
    <row r="6" spans="1:3" x14ac:dyDescent="0.3">
      <c r="A6" s="17"/>
      <c r="B6" s="3">
        <v>13</v>
      </c>
      <c r="C6" s="21">
        <v>6</v>
      </c>
    </row>
    <row r="7" spans="1:3" x14ac:dyDescent="0.3">
      <c r="B7" s="3">
        <v>14</v>
      </c>
      <c r="C7" s="21">
        <v>11</v>
      </c>
    </row>
    <row r="8" spans="1:3" x14ac:dyDescent="0.3">
      <c r="A8" s="11"/>
      <c r="B8" s="3">
        <v>15</v>
      </c>
      <c r="C8" s="21">
        <v>10</v>
      </c>
    </row>
    <row r="9" spans="1:3" x14ac:dyDescent="0.3">
      <c r="B9" s="3">
        <v>16</v>
      </c>
      <c r="C9" s="21">
        <v>6</v>
      </c>
    </row>
    <row r="10" spans="1:3" x14ac:dyDescent="0.3">
      <c r="B10" s="3">
        <v>17</v>
      </c>
      <c r="C10" s="21">
        <v>11</v>
      </c>
    </row>
    <row r="11" spans="1:3" x14ac:dyDescent="0.3">
      <c r="B11" s="3">
        <v>18</v>
      </c>
      <c r="C11" s="21">
        <v>9</v>
      </c>
    </row>
    <row r="12" spans="1:3" x14ac:dyDescent="0.3">
      <c r="B12" s="3">
        <v>19</v>
      </c>
      <c r="C12" s="21">
        <v>7</v>
      </c>
    </row>
    <row r="13" spans="1:3" x14ac:dyDescent="0.3">
      <c r="B13" s="3">
        <v>20</v>
      </c>
      <c r="C13" s="21">
        <v>8</v>
      </c>
    </row>
    <row r="14" spans="1:3" x14ac:dyDescent="0.3">
      <c r="B14" s="3" t="s">
        <v>166</v>
      </c>
      <c r="C14" s="21">
        <v>100</v>
      </c>
    </row>
    <row r="20" spans="1:1" x14ac:dyDescent="0.3">
      <c r="A20" s="13" t="s">
        <v>290</v>
      </c>
    </row>
    <row r="21" spans="1:1" x14ac:dyDescent="0.3">
      <c r="A21" s="13"/>
    </row>
    <row r="22" spans="1:1" x14ac:dyDescent="0.3">
      <c r="A22" s="11"/>
    </row>
    <row r="23" spans="1:1" x14ac:dyDescent="0.3">
      <c r="A23" s="13" t="s">
        <v>291</v>
      </c>
    </row>
    <row r="24" spans="1:1" x14ac:dyDescent="0.3">
      <c r="A24" s="13"/>
    </row>
    <row r="25" spans="1:1" x14ac:dyDescent="0.3">
      <c r="A25" s="11"/>
    </row>
    <row r="26" spans="1:1" x14ac:dyDescent="0.3">
      <c r="A26" s="13" t="s">
        <v>292</v>
      </c>
    </row>
    <row r="27" spans="1:1" x14ac:dyDescent="0.3">
      <c r="A27" s="13"/>
    </row>
    <row r="28" spans="1:1" x14ac:dyDescent="0.3">
      <c r="A28" s="11"/>
    </row>
    <row r="29" spans="1:1" x14ac:dyDescent="0.3">
      <c r="A29" s="13" t="s">
        <v>293</v>
      </c>
    </row>
    <row r="30" spans="1:1" x14ac:dyDescent="0.3">
      <c r="A30" s="13"/>
    </row>
    <row r="31" spans="1:1" x14ac:dyDescent="0.3">
      <c r="A31" s="11"/>
    </row>
    <row r="32" spans="1:1" x14ac:dyDescent="0.3">
      <c r="A32" s="10" t="s">
        <v>294</v>
      </c>
    </row>
    <row r="33" spans="1:1" x14ac:dyDescent="0.3">
      <c r="A33" s="10"/>
    </row>
  </sheetData>
  <mergeCells count="6">
    <mergeCell ref="A29:A30"/>
    <mergeCell ref="A1:A3"/>
    <mergeCell ref="A4:A6"/>
    <mergeCell ref="A20:A21"/>
    <mergeCell ref="A23:A24"/>
    <mergeCell ref="A26:A27"/>
  </mergeCells>
  <hyperlinks>
    <hyperlink ref="A4:A6" location="Dashboard!A1" display="Dashboard" xr:uid="{8BDBAD79-B92F-4FAA-8871-0E6AE85D959B}"/>
    <hyperlink ref="A32:A33" location="Sales_item!A1" display="Data - Sales_item" xr:uid="{3DFA5C07-3EDB-425B-81C9-8866420CCFC3}"/>
    <hyperlink ref="A29:A30" location="Sales!A1" display="Data - Sales" xr:uid="{217FDBD2-E726-4592-BF4F-E8EA0BD94D01}"/>
    <hyperlink ref="A26:A27" location="'Customers'!A1" display="Data - Customers" xr:uid="{0160D6C7-38FB-40E3-B0F1-18C82EE9E995}"/>
    <hyperlink ref="A23:A24" location="Products!A1" display="Data - Products" xr:uid="{31F886F5-225B-4E8A-90AC-7CC8AA4E59BC}"/>
    <hyperlink ref="A20:A21" location="Categories!A1" display="Data - Categories" xr:uid="{26173AEE-5DE6-45F0-9F30-8D58F439097C}"/>
  </hyperlinks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72868-6A9E-40C4-B5F3-30A67892A0DB}">
  <dimension ref="A1:C33"/>
  <sheetViews>
    <sheetView workbookViewId="0">
      <selection activeCell="D12" sqref="D12"/>
    </sheetView>
  </sheetViews>
  <sheetFormatPr defaultColWidth="8.796875" defaultRowHeight="15.6" x14ac:dyDescent="0.3"/>
  <cols>
    <col min="1" max="1" width="20.69921875" bestFit="1" customWidth="1"/>
    <col min="2" max="2" width="14.69921875" bestFit="1" customWidth="1"/>
    <col min="3" max="3" width="10.09765625" bestFit="1" customWidth="1"/>
    <col min="4" max="4" width="14.69921875" bestFit="1" customWidth="1"/>
    <col min="5" max="5" width="10.19921875" bestFit="1" customWidth="1"/>
  </cols>
  <sheetData>
    <row r="1" spans="1:3" x14ac:dyDescent="0.3">
      <c r="A1" s="14" t="s">
        <v>284</v>
      </c>
      <c r="B1" s="2" t="s">
        <v>285</v>
      </c>
    </row>
    <row r="2" spans="1:3" x14ac:dyDescent="0.3">
      <c r="A2" s="14"/>
      <c r="B2" s="9" t="s">
        <v>286</v>
      </c>
      <c r="C2" s="8">
        <v>8855.6299999999919</v>
      </c>
    </row>
    <row r="3" spans="1:3" x14ac:dyDescent="0.3">
      <c r="A3" s="14"/>
      <c r="B3" s="9" t="s">
        <v>287</v>
      </c>
      <c r="C3" s="21">
        <v>200</v>
      </c>
    </row>
    <row r="4" spans="1:3" x14ac:dyDescent="0.3">
      <c r="A4" s="15" t="s">
        <v>289</v>
      </c>
      <c r="B4" s="9" t="s">
        <v>288</v>
      </c>
      <c r="C4" s="8">
        <v>44.278149999999961</v>
      </c>
    </row>
    <row r="5" spans="1:3" x14ac:dyDescent="0.3">
      <c r="A5" s="16"/>
    </row>
    <row r="6" spans="1:3" x14ac:dyDescent="0.3">
      <c r="A6" s="17"/>
    </row>
    <row r="8" spans="1:3" x14ac:dyDescent="0.3">
      <c r="A8" s="11"/>
    </row>
    <row r="20" spans="1:1" x14ac:dyDescent="0.3">
      <c r="A20" s="13" t="s">
        <v>290</v>
      </c>
    </row>
    <row r="21" spans="1:1" x14ac:dyDescent="0.3">
      <c r="A21" s="13"/>
    </row>
    <row r="22" spans="1:1" x14ac:dyDescent="0.3">
      <c r="A22" s="11"/>
    </row>
    <row r="23" spans="1:1" x14ac:dyDescent="0.3">
      <c r="A23" s="13" t="s">
        <v>291</v>
      </c>
    </row>
    <row r="24" spans="1:1" x14ac:dyDescent="0.3">
      <c r="A24" s="13"/>
    </row>
    <row r="25" spans="1:1" x14ac:dyDescent="0.3">
      <c r="A25" s="11"/>
    </row>
    <row r="26" spans="1:1" x14ac:dyDescent="0.3">
      <c r="A26" s="13" t="s">
        <v>292</v>
      </c>
    </row>
    <row r="27" spans="1:1" x14ac:dyDescent="0.3">
      <c r="A27" s="13"/>
    </row>
    <row r="28" spans="1:1" x14ac:dyDescent="0.3">
      <c r="A28" s="11"/>
    </row>
    <row r="29" spans="1:1" x14ac:dyDescent="0.3">
      <c r="A29" s="13" t="s">
        <v>293</v>
      </c>
    </row>
    <row r="30" spans="1:1" x14ac:dyDescent="0.3">
      <c r="A30" s="13"/>
    </row>
    <row r="31" spans="1:1" x14ac:dyDescent="0.3">
      <c r="A31" s="11"/>
    </row>
    <row r="32" spans="1:1" x14ac:dyDescent="0.3">
      <c r="A32" s="10" t="s">
        <v>294</v>
      </c>
    </row>
    <row r="33" spans="1:1" x14ac:dyDescent="0.3">
      <c r="A33" s="10"/>
    </row>
  </sheetData>
  <mergeCells count="6">
    <mergeCell ref="A29:A30"/>
    <mergeCell ref="A1:A3"/>
    <mergeCell ref="A4:A6"/>
    <mergeCell ref="A20:A21"/>
    <mergeCell ref="A23:A24"/>
    <mergeCell ref="A26:A27"/>
  </mergeCells>
  <hyperlinks>
    <hyperlink ref="A4:A6" location="Dashboard!A1" display="Dashboard" xr:uid="{73008A57-BE74-4C0E-A926-387D6C2661AF}"/>
    <hyperlink ref="A32:A33" location="Sales_item!A1" display="Data - Sales_item" xr:uid="{B4499869-5C0F-4447-B869-E327FB1BC397}"/>
    <hyperlink ref="A29:A30" location="Sales!A1" display="Data - Sales" xr:uid="{B6D4BB6E-B773-4D66-9016-3E78B7EDC0A6}"/>
    <hyperlink ref="A26:A27" location="'Customers'!A1" display="Data - Customers" xr:uid="{9207D838-84BF-4E9F-9BA3-8F4123A479F4}"/>
    <hyperlink ref="A23:A24" location="Products!A1" display="Data - Products" xr:uid="{25D6B7E7-8A4C-4627-84AA-F7F1DBA3E72F}"/>
    <hyperlink ref="A20:A21" location="Categories!A1" display="Data - Categories" xr:uid="{15626979-0F92-4074-82C8-EECAD227E2F4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item1.xml>��
</file>

<file path=customXml/item2.xml>��
</file>

<file path=customXml/item3.xml>��
</file>

<file path=customXml/item4.xml>��
</file>

<file path=customXml/item5.xml>��t^c[g�N"}_gt^c[g�N"}_g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��t^c[g�N"}_g
</file>

<file path=customXml/item15.xml>��
</file>

<file path=customXml/item16.xml>���NNǌ�e�v=~�T�NNǌ�e�v=~�TlQ_�NNǌ�e�v=~�T<P�NNǌ�e�v��vPxe�NNǌ�e�v��vPxelQ_�NNǌ�e�v��vPxe<P�NNǌ�e�v=~�T�NNǌ�e�v=~�TlQ_�NNǌ�e�v=~�T<P�NNǌ�e�v��vPxe�NNǌ�e�v��vPxelQ_�NNǌ�e�v��vPxe<P�NNǌ�e�v=~�T�NNǌ�e�v=~�TlQ_�NNǌ�e�v=~�T<Pt^c[g�N"}_g�NNǌ�e�v=~�T�NNǌ�e�v=~�T�NNǌ�e�v=~�T�NNǌ�e�v��vPxe�NNǌ�e�v��vPxe�NNǌ�e�v��vPxe�NNǌ�e�v=~�T�NNǌ�e�v=~�T�NNǌ�e�v=~�T�NNǌ�e�v��vPxe�NNǌ�e�v��vPxe�NNǌ�e�v��vPxe�NNǌ�e�v=~�T�NNǌ�e�v=~�T�NNǌ�e�v=~�T�NNǌ�e�v=~�T�NNǌ�e�v=~�TlQ_�NNǌ�e�v=~�T<P�NNǌ�e�v��vPxe�NNǌ�e�v��vPxelQ_�NNǌ�e�v��vPxe<P�NNǌ�e�v=~�T�NNǌ�e�v=~�TlQ_�NNǌ�e�v=~�T<P�NNǌ�e�v��vPxe�NNǌ�e�v��vPxelQ_�NNǌ�e�v��vPxe<P�NNǌ�e�v=~�T�NNǌ�e�v=~�TlQ_�NNǌ�e�v=~�T<Pt^c[g�N"}_g�NNǌ�e�v=~�T�NNǌ�e�v=~�T�NNǌ�e�v=~�T�NNǌ�e�v��vPxe�NNǌ�e�v��vPxe�NNǌ�e�v��vPxe�NNǌ�e�v=~�T�NNǌ�e�v=~�T�NNǌ�e�v=~�T�NNǌ�e�v��vPxe�NNǌ�e�v��vPxe�NNǌ�e�v��vPxe�NNǌ�e�v=~�T�NNǌ�e�v=~�T�NNǌ�e�v=~�T�NNǌ�e�v=~�T�NNǌ�e�v=~�TlQ_�NNǌ�e�v=~�T<P�NNǌ�e�v=~�T�NNǌ�e�v=~�TlQ_�NNǌ�e�v=~�T<P�NNǌ�e�v=~�T�NNǌ�e�v=~�TlQ_�NNǌ�e�v=~�T<P�NNǌ�e�v��vPxe�NNǌ�e�v��vPxelQ_�NNǌ�e�v��vPxe<P�NNǌ�e�vs^GW<P�NNǌ�e�vs^GW<PlQ_�NNǌ�e�vs^GW<P<P�NNǌ�e�v=~�T�NNǌ�e�v=~�T�NNǌ�e�v=~�T�NNǌ�e�v=~�T�NNǌ�e�v=~�T�NNǌ�e�v=~�T�NNǌ�e�v=~�T�NNǌ�e�v=~�T�NNǌ�e�v=~�T�NNǌ�e�v��vPxe�NNǌ�e�v��vPxe�NNǌ�e�v��vPxe�NNǌ�e�vs^GW<P�NNǌ�e�vs^GW<P�NNǌ�e�vs^GW<P�NNǌ�e�v=~�T�NNǌ�e�v=~�TlQ_�NNǌ�e�v=~�T<P�NNǌ�e�v=~�T�NNǌ�e�v=~�TlQ_�NNǌ�e�v=~�T<P�NNǌ�e�v=~�T�NNǌ�e�v=~�TlQ_�NNǌ�e�v=~�T<P�NNǌ�e�v��vPxe�NNǌ�e�v��vPxelQ_�NNǌ�e�v��vPxe<P�NNǌ�e�vs^GW<P�NNǌ�e�vs^GW<PlQ_�NNǌ�e�vs^GW<P<P�NNǌ�e�v=~�T�NNǌ�e�v=~�T�NNǌ�e�v=~�T�NNǌ�e�v=~�T�NNǌ�e�v=~�T�NNǌ�e�v=~�T�NNǌ�e�v=~�T�NNǌ�e�v=~�T�NNǌ�e�v=~�T�NNǌ�e�v��vPxe�NNǌ�e�v��vPxe�NNǌ�e�v��vPxe�NNǌ�e�vs^GW<P�NNǌ�e�vs^GW<P�NNǌ�e�vs^GW<Pt^c[g�N"}_g�NNǌ�e�v=~�T�NNǌ�e�v=~�T��+Tϑ<P�NNǌ�e�v��vPxe�NNǌ�e�v��vPxe��+Tϑ<P�NNǌ�e�v=~�T�NNǌ�e�v=~�T��+Tϑ<P�NNǌ�e�v��vPxe�NNǌ�e�v��vPxe��+Tϑ<P�NNǌ�e�v=~�T�NNǌ�e�v=~�T��+Tϑ<P�NNǌ�e�v=~�T�NNǌ�e�v=~�T��+Tϑ<P�NNǌ�e�v=~�T�NNǌ�e�v=~�T��+Tϑ<P�NNǌ�e�v=~�T�NNǌ�e�v=~�T��+Tϑ<P�NNǌ�e�v��vPxe�NNǌ�e�v��vPxe��+Tϑ<P�NNǌ�e�vs^GW<P�NNǌ�e�vs^GW<P��+Tϑ<Pt^c[g�N"}_g�NNǌ�e�v=~�T�NNǌ�e�v=~�T��+Tϑ<P�NNǌ�e�v��vPxe�NNǌ�e�v��vPxe��+Tϑ<P�NNǌ�e�v=~�T�NNǌ�e�v=~�T��+Tϑ<P�NNǌ�e�v��vPxe�NNǌ�e�v��vPxe��+Tϑ<P�NNǌ�e�v=~�T�NNǌ�e�v=~�T��+Tϑ<P�NNǌ�e�v=~�T�NNǌ�e�v=~�T��+Tϑ<P�NNǌ�e�v=~�T�NNǌ�e�v=~�T��+Tϑ<P�NNǌ�e�v=~�T�NNǌ�e�v=~�T��+Tϑ<P�NNǌ�e�v��vPxe�NNǌ�e�v��vPxe��+Tϑ<P�NNǌ�e�vs^GW<P�NNǌ�e�vs^GW<P��+Tϑ<P�zޞ0�zޞ�zޞ0�zޞ�zޞ0�zޞ�zޞ0�zޞ
</file>

<file path=customXml/item17.xml>��
</file>

<file path=customXml/item18.xml>��
</file>

<file path=customXml/item19.xml>��
</file>

<file path=customXml/item20.xml>��
</file>

<file path=customXml/item21.xml>��
</file>

<file path=customXml/itemProps1.xml><?xml version="1.0" encoding="utf-8"?>
<ds:datastoreItem xmlns:ds="http://schemas.openxmlformats.org/officeDocument/2006/customXml" ds:itemID="{1BBC9659-CD16-4658-9AF9-43AEABEE15C4}">
  <ds:schemaRefs/>
</ds:datastoreItem>
</file>

<file path=customXml/itemProps2.xml><?xml version="1.0" encoding="utf-8"?>
<ds:datastoreItem xmlns:ds="http://schemas.openxmlformats.org/officeDocument/2006/customXml" ds:itemID="{E6642025-A0A5-4D9D-A754-794A60359F0E}">
  <ds:schemaRefs/>
</ds:datastoreItem>
</file>

<file path=customXml/itemProps3.xml><?xml version="1.0" encoding="utf-8"?>
<ds:datastoreItem xmlns:ds="http://schemas.openxmlformats.org/officeDocument/2006/customXml" ds:itemID="{A6893E1B-3A20-40A5-A783-E70D0D0965A2}">
  <ds:schemaRefs/>
</ds:datastoreItem>
</file>

<file path=customXml/itemProps4.xml><?xml version="1.0" encoding="utf-8"?>
<ds:datastoreItem xmlns:ds="http://schemas.openxmlformats.org/officeDocument/2006/customXml" ds:itemID="{383FF8DF-1C0D-4EA8-B8DF-A015328326A8}">
  <ds:schemaRefs/>
</ds:datastoreItem>
</file>

<file path=customXml/itemProps5.xml><?xml version="1.0" encoding="utf-8"?>
<ds:datastoreItem xmlns:ds="http://schemas.openxmlformats.org/officeDocument/2006/customXml" ds:itemID="{FC37481B-7283-4B4F-BD5A-45845981BA35}">
  <ds:schemaRefs/>
</ds:datastoreItem>
</file>

<file path=customXml/itemProps6.xml><?xml version="1.0" encoding="utf-8"?>
<ds:datastoreItem xmlns:ds="http://schemas.openxmlformats.org/officeDocument/2006/customXml" ds:itemID="{ECBB32D4-CBB9-4AFA-8928-5BAC7279DF4B}">
  <ds:schemaRefs/>
</ds:datastoreItem>
</file>

<file path=customXml/itemProps7.xml><?xml version="1.0" encoding="utf-8"?>
<ds:datastoreItem xmlns:ds="http://schemas.openxmlformats.org/officeDocument/2006/customXml" ds:itemID="{C819C94B-C920-4950-BC99-B1AB3E03B3FB}">
  <ds:schemaRefs/>
</ds:datastoreItem>
</file>

<file path=customXml/itemProps8.xml><?xml version="1.0" encoding="utf-8"?>
<ds:datastoreItem xmlns:ds="http://schemas.openxmlformats.org/officeDocument/2006/customXml" ds:itemID="{9437EC87-FF26-4EA4-9729-A522D41FAB03}">
  <ds:schemaRefs/>
</ds:datastoreItem>
</file>

<file path=customXml/itemProps9.xml><?xml version="1.0" encoding="utf-8"?>
<ds:datastoreItem xmlns:ds="http://schemas.openxmlformats.org/officeDocument/2006/customXml" ds:itemID="{F64D7890-0431-41B8-9379-F8F808DF5474}">
  <ds:schemaRefs/>
</ds:datastoreItem>
</file>

<file path=customXml/itemProps10.xml><?xml version="1.0" encoding="utf-8"?>
<ds:datastoreItem xmlns:ds="http://schemas.openxmlformats.org/officeDocument/2006/customXml" ds:itemID="{7912B589-9CE4-43E5-A5A6-22FE233AAB28}">
  <ds:schemaRefs/>
</ds:datastoreItem>
</file>

<file path=customXml/itemProps11.xml><?xml version="1.0" encoding="utf-8"?>
<ds:datastoreItem xmlns:ds="http://schemas.openxmlformats.org/officeDocument/2006/customXml" ds:itemID="{B9DB6C67-723B-406F-B61D-AC287A4F4630}">
  <ds:schemaRefs/>
</ds:datastoreItem>
</file>

<file path=customXml/itemProps12.xml><?xml version="1.0" encoding="utf-8"?>
<ds:datastoreItem xmlns:ds="http://schemas.openxmlformats.org/officeDocument/2006/customXml" ds:itemID="{2067978A-31B0-4988-84B4-B2A3767D2083}">
  <ds:schemaRefs/>
</ds:datastoreItem>
</file>

<file path=customXml/itemProps13.xml><?xml version="1.0" encoding="utf-8"?>
<ds:datastoreItem xmlns:ds="http://schemas.openxmlformats.org/officeDocument/2006/customXml" ds:itemID="{4204FB03-31DA-4AE0-A68F-6247EF5F575A}">
  <ds:schemaRefs/>
</ds:datastoreItem>
</file>

<file path=customXml/itemProps14.xml><?xml version="1.0" encoding="utf-8"?>
<ds:datastoreItem xmlns:ds="http://schemas.openxmlformats.org/officeDocument/2006/customXml" ds:itemID="{9A08207C-F697-4CF7-A27F-5F8D0742E4F7}">
  <ds:schemaRefs/>
</ds:datastoreItem>
</file>

<file path=customXml/itemProps15.xml><?xml version="1.0" encoding="utf-8"?>
<ds:datastoreItem xmlns:ds="http://schemas.openxmlformats.org/officeDocument/2006/customXml" ds:itemID="{C3CA4DB3-A0CD-4BBB-8E9F-9A148AA2B17F}">
  <ds:schemaRefs>
    <ds:schemaRef ds:uri="http://schemas.microsoft.com/DataMashup"/>
  </ds:schemaRefs>
</ds:datastoreItem>
</file>

<file path=customXml/itemProps16.xml><?xml version="1.0" encoding="utf-8"?>
<ds:datastoreItem xmlns:ds="http://schemas.openxmlformats.org/officeDocument/2006/customXml" ds:itemID="{7D459D46-E24B-41E4-9F03-981F85D16A3C}">
  <ds:schemaRefs/>
</ds:datastoreItem>
</file>

<file path=customXml/itemProps17.xml><?xml version="1.0" encoding="utf-8"?>
<ds:datastoreItem xmlns:ds="http://schemas.openxmlformats.org/officeDocument/2006/customXml" ds:itemID="{1EAB0EBD-7DEF-4B59-82B4-990B21BEAFAF}">
  <ds:schemaRefs/>
</ds:datastoreItem>
</file>

<file path=customXml/itemProps18.xml><?xml version="1.0" encoding="utf-8"?>
<ds:datastoreItem xmlns:ds="http://schemas.openxmlformats.org/officeDocument/2006/customXml" ds:itemID="{211AA9A5-217F-4C0C-8860-1EBB568B2F18}">
  <ds:schemaRefs/>
</ds:datastoreItem>
</file>

<file path=customXml/itemProps19.xml><?xml version="1.0" encoding="utf-8"?>
<ds:datastoreItem xmlns:ds="http://schemas.openxmlformats.org/officeDocument/2006/customXml" ds:itemID="{1BD946FD-4108-4B08-867F-C39557176425}">
  <ds:schemaRefs/>
</ds:datastoreItem>
</file>

<file path=customXml/itemProps20.xml><?xml version="1.0" encoding="utf-8"?>
<ds:datastoreItem xmlns:ds="http://schemas.openxmlformats.org/officeDocument/2006/customXml" ds:itemID="{9B89833A-BDD0-4D66-B73D-DF169E77639C}">
  <ds:schemaRefs/>
</ds:datastoreItem>
</file>

<file path=customXml/itemProps21.xml><?xml version="1.0" encoding="utf-8"?>
<ds:datastoreItem xmlns:ds="http://schemas.openxmlformats.org/officeDocument/2006/customXml" ds:itemID="{62F14E13-9356-49D0-98A3-48ACA8F5241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Dashboard</vt:lpstr>
      <vt:lpstr>Categories</vt:lpstr>
      <vt:lpstr>Products</vt:lpstr>
      <vt:lpstr>Customers</vt:lpstr>
      <vt:lpstr>Sales</vt:lpstr>
      <vt:lpstr>Sales_item</vt:lpstr>
      <vt:lpstr>Pivot_Combo</vt:lpstr>
      <vt:lpstr>Pivot_Bar</vt:lpstr>
      <vt:lpstr>Pivot_Line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Ting-Wen Kung</dc:creator>
  <cp:lastModifiedBy>Ting-Wen Kung</cp:lastModifiedBy>
  <dcterms:created xsi:type="dcterms:W3CDTF">2026-05-10T04:36:59Z</dcterms:created>
  <dcterms:modified xsi:type="dcterms:W3CDTF">2026-05-14T00:16:12Z</dcterms:modified>
</cp:coreProperties>
</file>