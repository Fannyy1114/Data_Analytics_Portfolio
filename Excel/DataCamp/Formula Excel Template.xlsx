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ng/Desktop/Data Bootcamp/Excel/"/>
    </mc:Choice>
  </mc:AlternateContent>
  <xr:revisionPtr revIDLastSave="0" documentId="13_ncr:1_{C609E4C2-1741-4146-976E-337C82F25853}" xr6:coauthVersionLast="47" xr6:coauthVersionMax="47" xr10:uidLastSave="{00000000-0000-0000-0000-000000000000}"/>
  <bookViews>
    <workbookView xWindow="0" yWindow="500" windowWidth="19300" windowHeight="16860" firstSheet="4" activeTab="11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  <sheet name="List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4" l="1"/>
  <c r="F8" i="14"/>
  <c r="F10" i="14"/>
  <c r="F11" i="14"/>
  <c r="K3" i="13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K2" i="7" a="1"/>
  <c r="K2" i="7" s="1"/>
  <c r="J2" i="7" a="1"/>
  <c r="J2" i="7" s="1"/>
  <c r="L2" i="7" a="1"/>
  <c r="L2" i="7" s="1"/>
  <c r="K3" i="1"/>
  <c r="K4" i="1"/>
  <c r="K5" i="1"/>
  <c r="K6" i="1"/>
  <c r="K7" i="1"/>
  <c r="K8" i="1"/>
  <c r="K9" i="1"/>
  <c r="K10" i="1"/>
  <c r="K2" i="1"/>
  <c r="J3" i="1"/>
  <c r="J4" i="1"/>
  <c r="J5" i="1"/>
  <c r="J6" i="1"/>
  <c r="J7" i="1"/>
  <c r="J8" i="1"/>
  <c r="J9" i="1"/>
  <c r="J10" i="1"/>
  <c r="J2" i="1"/>
  <c r="J2" i="6" a="1"/>
  <c r="J2" i="6" s="1"/>
  <c r="K2" i="3" a="1"/>
  <c r="K2" i="3" s="1"/>
  <c r="J2" i="3" a="1"/>
  <c r="J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<sst xmlns="http://schemas.openxmlformats.org/spreadsheetml/2006/main" count="613" uniqueCount="131">
  <si>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</si>
  <si>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</si>
  <si>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</si>
  <si>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</si>
  <si>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</si>
  <si>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</si>
  <si>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</si>
  <si>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</si>
  <si>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</si>
  <si>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</si>
  <si>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</si>
  <si>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</si>
  <si>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</si>
  <si>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</si>
  <si>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</si>
  <si>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</si>
  <si>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</si>
  <si>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</si>
  <si>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</si>
  <si>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</si>
  <si>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</si>
  <si>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</si>
  <si>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</si>
  <si>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</si>
  <si>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</si>
  <si>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</si>
  <si>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</si>
  <si>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</si>
  <si>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</si>
  <si>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</si>
  <si>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</si>
  <si>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</si>
  <si>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</si>
  <si>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</si>
  <si>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</si>
  <si>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</si>
  <si>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</si>
  <si>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</si>
  <si>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</si>
  <si>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</si>
  <si>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</si>
  <si>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</si>
  <si>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</si>
  <si>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</si>
  <si>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</si>
  <si>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</si>
  <si>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</si>
  <si>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</si>
  <si>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</si>
  <si>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</si>
  <si>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</si>
  <si>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</si>
  <si>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</si>
  <si>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</si>
  <si>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</si>
  <si>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</si>
  <si>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</si>
  <si>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</si>
  <si>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</si>
  <si>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</si>
  <si>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</si>
  <si>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</si>
  <si>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</si>
  <si>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</si>
  <si>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</si>
  <si>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</si>
  <si>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</si>
  <si>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</si>
  <si>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</si>
  <si>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</si>
  <si>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</si>
  <si>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</si>
  <si>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</si>
  <si>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</si>
  <si>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</si>
  <si>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</si>
  <si>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</si>
  <si>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</si>
  <si>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</si>
  <si>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</si>
  <si>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</si>
  <si>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</si>
  <si>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</si>
  <si>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</si>
  <si>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</si>
  <si>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</si>
  <si>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</si>
  <si>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</si>
  <si>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 xml:space="preserve"> </t>
  </si>
  <si>
    <t>Right &gt; to get year</t>
  </si>
  <si>
    <t>convert to text</t>
  </si>
  <si>
    <t>and get right 5 chars</t>
  </si>
  <si>
    <t>changing first "/"</t>
  </si>
  <si>
    <t>changing 2nd "/"</t>
  </si>
  <si>
    <t xml:space="preserve"> =countif(critaria_range1,"cr", critaria_range2, "cr2"</t>
  </si>
  <si>
    <t>CountIFs</t>
  </si>
  <si>
    <t xml:space="preserve"> =countif(range, "critaria"</t>
  </si>
  <si>
    <t>CountIF</t>
  </si>
  <si>
    <t xml:space="preserve"> =sumifs(range, critaria_range1,"cr", critaria_range2, "") </t>
  </si>
  <si>
    <t>SumIFs</t>
  </si>
  <si>
    <t xml:space="preserve"> =sumif(range, "critaria"</t>
  </si>
  <si>
    <t>SumIF</t>
  </si>
  <si>
    <t>(can choose num to change, optional)</t>
  </si>
  <si>
    <t xml:space="preserve"> =substitute(range,"old text", "new text")</t>
  </si>
  <si>
    <t>Substitute</t>
  </si>
  <si>
    <t>join together</t>
  </si>
  <si>
    <t xml:space="preserve"> =conatenate(B1,".",C1,"gmail.com")</t>
  </si>
  <si>
    <t>Concatenate</t>
  </si>
  <si>
    <t xml:space="preserve"> =TRIM()</t>
  </si>
  <si>
    <t>TRIM</t>
  </si>
  <si>
    <t xml:space="preserve"> =TEXT(H2,"dd/mm/yyyy")</t>
  </si>
  <si>
    <t>DateToText</t>
  </si>
  <si>
    <t xml:space="preserve">but NOT in "date number" only text or general </t>
  </si>
  <si>
    <t xml:space="preserve"> =Right(text, how many chars)</t>
  </si>
  <si>
    <t>can use for get year, month</t>
  </si>
  <si>
    <t>sub strings</t>
  </si>
  <si>
    <t xml:space="preserve"> =Left(text, how many chars)</t>
  </si>
  <si>
    <t>LeftRight</t>
  </si>
  <si>
    <t>to see how many chars</t>
  </si>
  <si>
    <t xml:space="preserve"> =Len()</t>
  </si>
  <si>
    <t>Len</t>
  </si>
  <si>
    <t>for multuple conditions</t>
  </si>
  <si>
    <t xml:space="preserve"> =IF(logic test , [if_ture], logic test2 , [if_ture], logic test3 , [if_ture])</t>
  </si>
  <si>
    <t>IFs</t>
  </si>
  <si>
    <t xml:space="preserve"> =IF(logic test , [if_ture], [if_false])</t>
  </si>
  <si>
    <t xml:space="preserve"> =MIN()</t>
  </si>
  <si>
    <t xml:space="preserve"> =MAX(range or number [1,5, 10, 12])</t>
  </si>
  <si>
    <t>Note</t>
  </si>
  <si>
    <t>demo</t>
  </si>
  <si>
    <t>Formula Excel Template.xlsx</t>
  </si>
  <si>
    <t>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</si>
</sst>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Formula%20Excel%20Template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L10"/>
  <sheetViews>
    <sheetView topLeftCell="F1" workbookViewId="0">
      <selection activeCell="L4" sqref="L4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  <c r="L2" t="s">
        <v>36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  <c r="L3" t="s">
        <v>22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M15" sqref="M15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  <col min="11" max="11" width="18.832031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 &gt; 30, "Senior", "Young")</f>
        <v>Young</v>
      </c>
      <c r="K2" s="3" t="str" cm="1">
        <f t="array" ref="K2:K10">_xlfn.IFS(F2:F10 = "Salesman", "Keep more sales", F2:F10 = "HR", "Might be fired", F2:F10 = "Regional Manager", "Give bonus")</f>
        <v>Keep more sales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s="3" t="e">
        <v>#N/A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s="3" t="str">
        <v>Keep more sales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Senior</v>
      </c>
      <c r="K5" s="3" t="e">
        <v>#N/A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Senior</v>
      </c>
      <c r="K6" s="3" t="str">
        <v>Might be fired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Senior</v>
      </c>
      <c r="K7" s="3" t="str">
        <v>Give bonus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Senior</v>
      </c>
      <c r="K8" s="3" t="e">
        <v>#N/A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Senior</v>
      </c>
      <c r="K9" s="3" t="str">
        <v>Keep more sales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Senior</v>
      </c>
      <c r="K10" s="3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19" sqref="J19"/>
    </sheetView>
  </sheetViews>
  <sheetFormatPr baseColWidth="10" defaultColWidth="10.83203125" defaultRowHeight="15" x14ac:dyDescent="0.2"/>
  <cols>
    <col min="1" max="1" width="10.83203125" bestFit="1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B1" workbookViewId="0">
      <selection activeCell="M2" sqref="M2"/>
    </sheetView>
  </sheetViews>
  <sheetFormatPr baseColWidth="10" defaultColWidth="14.5" defaultRowHeight="15" x14ac:dyDescent="0.2"/>
  <cols>
    <col min="4" max="4" width="8" customWidth="1"/>
    <col min="10" max="10" width="32.33203125" bestFit="1" customWidth="1"/>
  </cols>
  <sheetData>
    <row r="1" spans="1:13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89</v>
      </c>
    </row>
    <row r="2" spans="1:13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RIGHT(A2:A10,2)</f>
        <v>01</v>
      </c>
      <c r="M2" t="str" cm="1">
        <f t="array" ref="M2:M10">RIGHT(H2:H10,4)</f>
        <v>2001</v>
      </c>
    </row>
    <row r="3" spans="1:13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02</v>
      </c>
      <c r="M3" t="str">
        <v>1999</v>
      </c>
    </row>
    <row r="4" spans="1:13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03</v>
      </c>
      <c r="M4" t="str">
        <v>2000</v>
      </c>
    </row>
    <row r="5" spans="1:13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04</v>
      </c>
      <c r="M5" t="str">
        <v>2000</v>
      </c>
    </row>
    <row r="6" spans="1:13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05</v>
      </c>
      <c r="M6" t="str">
        <v>2001</v>
      </c>
    </row>
    <row r="7" spans="1:13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06</v>
      </c>
      <c r="M7" t="str">
        <v>2001</v>
      </c>
    </row>
    <row r="8" spans="1:13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07</v>
      </c>
      <c r="M8" t="str">
        <v>2003</v>
      </c>
    </row>
    <row r="9" spans="1:13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08</v>
      </c>
      <c r="M9" t="str">
        <v>2002</v>
      </c>
    </row>
    <row r="10" spans="1:13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09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24"/>
  <sheetViews>
    <sheetView zoomScale="125" workbookViewId="0">
      <selection activeCell="J17" sqref="J17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  <col min="9" max="9" width="13.6640625" customWidth="1"/>
    <col min="11" max="11" width="19.16406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 "mm/dd/yyyy")</f>
        <v>11/02/2001</v>
      </c>
      <c r="K2" t="str" cm="1">
        <f t="array" ref="K2:K10">RIGHT(_xlfn.ANCHORARRAY(J2),4)</f>
        <v>2001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10/03/1999</v>
      </c>
      <c r="K3" s="2" t="str">
        <v>1999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07/04/2000</v>
      </c>
      <c r="K4" s="2" t="str">
        <v>2000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01/05/2000</v>
      </c>
      <c r="K5" s="2" t="str">
        <v>2000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05/06/2001</v>
      </c>
      <c r="K6" s="2" t="str">
        <v>2001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12/07/1995</v>
      </c>
      <c r="K7" s="2" t="str">
        <v>1995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11/08/2003</v>
      </c>
      <c r="K8" s="2" t="str">
        <v>2003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06/09/2002</v>
      </c>
      <c r="K9" s="2" t="str">
        <v>2002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08/10/2003</v>
      </c>
      <c r="K10" s="2" t="str">
        <v>2003</v>
      </c>
    </row>
    <row r="11" spans="1:11" x14ac:dyDescent="0.2">
      <c r="J11" s="4" t="s">
        <v>90</v>
      </c>
      <c r="K11" s="4" t="s">
        <v>91</v>
      </c>
    </row>
    <row r="12" spans="1:11" x14ac:dyDescent="0.2">
      <c r="H12" s="1"/>
    </row>
    <row r="13" spans="1:11" x14ac:dyDescent="0.2">
      <c r="H13" s="2"/>
    </row>
    <row r="24" spans="5:5" x14ac:dyDescent="0.2">
      <c r="E24" t="s">
        <v>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zoomScale="131" workbookViewId="0">
      <selection activeCell="K16" sqref="K16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2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2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2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2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2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2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2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2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topLeftCell="B1" zoomScale="136" workbookViewId="0">
      <selection activeCell="L2" sqref="L2"/>
    </sheetView>
  </sheetViews>
  <sheetFormatPr baseColWidth="10" defaultColWidth="8.83203125" defaultRowHeight="15" x14ac:dyDescent="0.2"/>
  <cols>
    <col min="2" max="2" width="10.5" customWidth="1"/>
    <col min="3" max="5" width="10.6640625" customWidth="1"/>
    <col min="6" max="6" width="16.5" customWidth="1"/>
    <col min="8" max="8" width="14.1640625" customWidth="1"/>
    <col min="9" max="9" width="14.83203125" customWidth="1"/>
    <col min="10" max="10" width="22" bestFit="1" customWidth="1"/>
    <col min="11" max="11" width="19.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 t="s">
        <v>88</v>
      </c>
      <c r="J2" t="str">
        <f>CONCATENATE(B2," ",C2)</f>
        <v>Jim Halpert</v>
      </c>
      <c r="K2" t="str">
        <f>CONCATENATE(B2,".",C2,"gmail.com")</f>
        <v>Jim.Halpertgmail.com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  <c r="K3" t="str">
        <f t="shared" ref="K3:K10" si="1">CONCATENATE(B3,".",C3,"gmail.com")</f>
        <v>Pam.Beasleygmail.com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t="str">
        <f t="shared" si="1"/>
        <v>Dwight.Schrutegmail.com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t="str">
        <f t="shared" si="1"/>
        <v>Angela.Martingmail.com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t="str">
        <f t="shared" si="1"/>
        <v>Toby.Flendersongmail.com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t="str">
        <f t="shared" si="1"/>
        <v>Michael.Scottgmail.com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t="str">
        <f t="shared" si="1"/>
        <v>Meredith.Palmergmail.com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t="str">
        <f t="shared" si="1"/>
        <v>Stanley.Hudsongmail.com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t="str">
        <f t="shared" si="1"/>
        <v>Kevin.Malonegmail.com</v>
      </c>
    </row>
    <row r="11" spans="1:11" x14ac:dyDescent="0.2">
      <c r="H11" t="str">
        <f t="shared" ref="H11:H12" si="2">CONCATENATE(B11," ",C11)</f>
        <v xml:space="preserve"> </v>
      </c>
    </row>
    <row r="12" spans="1:11" x14ac:dyDescent="0.2">
      <c r="H12" t="str">
        <f t="shared" si="2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topLeftCell="C1" zoomScale="150" workbookViewId="0">
      <selection activeCell="K16" sqref="K16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 "/", "-",1)</f>
        <v>11-2/2001</v>
      </c>
      <c r="K2" t="str" cm="1">
        <f t="array" ref="K2:K10">SUBSTITUTE(H2:H10, "/", "-",2)</f>
        <v>11/2-2001</v>
      </c>
      <c r="L2" t="str" cm="1">
        <f t="array" ref="L2:L10">SUBSTITUTE(H2:H10,"/","-")</f>
        <v>11-2-2001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10/3-1999</v>
      </c>
      <c r="L3" t="str">
        <v>10-3-1999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7/4-2000</v>
      </c>
      <c r="L4" t="str">
        <v>7-4-2000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K5" t="str">
        <v>1/5-2000</v>
      </c>
      <c r="L5" t="str">
        <v>1-5-2000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5/6-2001</v>
      </c>
      <c r="L6" t="str">
        <v>5-6-2001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5/6-2001</v>
      </c>
      <c r="L7" t="str">
        <v>5-6-2001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11/8-2003</v>
      </c>
      <c r="L8" t="str">
        <v>11-8-2003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6/9-2002</v>
      </c>
      <c r="L9" t="str">
        <v>6-9-2002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8/10-2003</v>
      </c>
      <c r="L10" t="str">
        <v>8-10-2003</v>
      </c>
    </row>
    <row r="11" spans="1:12" x14ac:dyDescent="0.2">
      <c r="J11" t="s">
        <v>92</v>
      </c>
      <c r="K11" t="s">
        <v>93</v>
      </c>
    </row>
    <row r="12" spans="1:12" x14ac:dyDescent="0.2">
      <c r="H12" s="2"/>
      <c r="I12" s="2"/>
    </row>
    <row r="13" spans="1:12" x14ac:dyDescent="0.2">
      <c r="H13" s="2"/>
      <c r="I13" s="2"/>
    </row>
    <row r="14" spans="1:12" x14ac:dyDescent="0.2">
      <c r="H14" s="2"/>
      <c r="I14" s="2"/>
    </row>
    <row r="15" spans="1:12" x14ac:dyDescent="0.2">
      <c r="H15" s="2"/>
      <c r="I15" s="2"/>
    </row>
    <row r="16" spans="1:12" x14ac:dyDescent="0.2">
      <c r="H16" s="2"/>
      <c r="I16" s="2"/>
    </row>
    <row r="17" spans="8:9" x14ac:dyDescent="0.2">
      <c r="H17" s="2"/>
      <c r="I17" s="2"/>
    </row>
    <row r="18" spans="8:9" x14ac:dyDescent="0.2">
      <c r="H18" s="2"/>
      <c r="I18" s="2"/>
    </row>
    <row r="19" spans="8:9" x14ac:dyDescent="0.2">
      <c r="H19" s="2"/>
      <c r="I19" s="2"/>
    </row>
    <row r="20" spans="8:9" x14ac:dyDescent="0.2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3" sqref="L3"/>
    </sheetView>
  </sheetViews>
  <sheetFormatPr baseColWidth="10" defaultColWidth="13" defaultRowHeight="15" x14ac:dyDescent="0.2"/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 "&gt;50000")</f>
        <v>128000</v>
      </c>
      <c r="L2">
        <f>SUMIFS(G2:G10, E2:E10, "Female", D2:D10, "&gt;30")</f>
        <v>88000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3" sqref="L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 "&gt;45000")</f>
        <v>5</v>
      </c>
      <c r="L2">
        <f>COUNTIFS(A2:A10,"&gt;1005",E2:E10,"Male")</f>
        <v>3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zoomScale="159" workbookViewId="0">
      <selection activeCell="L5" sqref="L5"/>
    </sheetView>
  </sheetViews>
  <sheetFormatPr baseColWidth="10" defaultColWidth="8.83203125" defaultRowHeight="15" x14ac:dyDescent="0.2"/>
  <cols>
    <col min="8" max="8" width="12.83203125" style="1" customWidth="1"/>
    <col min="9" max="9" width="11.83203125" style="1" customWidth="1"/>
    <col min="10" max="10" width="13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s="1" t="s">
        <v>36</v>
      </c>
      <c r="I1" s="1" t="s">
        <v>37</v>
      </c>
      <c r="J1" t="s">
        <v>84</v>
      </c>
      <c r="K1" t="s">
        <v>85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_xlfn.DAYS(I2, H2)</f>
        <v>5056</v>
      </c>
      <c r="K2">
        <f>NETWORKDAYS(H2,I2)</f>
        <v>3611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_xlfn.DAYS(I3, H3)</f>
        <v>5851</v>
      </c>
      <c r="K3">
        <f t="shared" ref="K3:K10" si="1">NETWORKDAYS(H3,I3)</f>
        <v>4180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6275</v>
      </c>
      <c r="K4">
        <f t="shared" si="1"/>
        <v>4484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5811</v>
      </c>
      <c r="K5">
        <f t="shared" si="1"/>
        <v>4152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5960</v>
      </c>
      <c r="K6">
        <f t="shared" si="1"/>
        <v>4258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37017</v>
      </c>
      <c r="I7" s="1">
        <v>41528</v>
      </c>
      <c r="J7">
        <f t="shared" si="0"/>
        <v>4511</v>
      </c>
      <c r="K7">
        <f t="shared" si="1"/>
        <v>3223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41528</v>
      </c>
      <c r="J8">
        <f t="shared" si="0"/>
        <v>3595</v>
      </c>
      <c r="K8">
        <f t="shared" si="1"/>
        <v>2568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4700</v>
      </c>
      <c r="K9">
        <f t="shared" si="1"/>
        <v>3358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42116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4245-96FB-3C44-A608-D865551339A8}">
  <dimension ref="A1:H32"/>
  <sheetViews>
    <sheetView tabSelected="1" workbookViewId="0">
      <selection activeCell="G16" sqref="G16"/>
    </sheetView>
  </sheetViews>
  <sheetFormatPr baseColWidth="10" defaultRowHeight="15" x14ac:dyDescent="0.2"/>
  <sheetData>
    <row r="1" spans="1:8" ht="16" x14ac:dyDescent="0.2">
      <c r="A1" s="5" t="s">
        <v>130</v>
      </c>
      <c r="B1" s="7" t="s">
        <v>129</v>
      </c>
      <c r="F1" s="6" t="s">
        <v>128</v>
      </c>
      <c r="G1" s="5" t="s">
        <v>127</v>
      </c>
    </row>
    <row r="2" spans="1:8" ht="16" x14ac:dyDescent="0.2">
      <c r="A2" s="5" t="s">
        <v>80</v>
      </c>
      <c r="B2" t="s">
        <v>126</v>
      </c>
      <c r="F2" s="3">
        <f>MAX(1, 10, 77, 58, 221, 10)</f>
        <v>221</v>
      </c>
    </row>
    <row r="3" spans="1:8" ht="16" x14ac:dyDescent="0.2">
      <c r="A3" s="5" t="s">
        <v>81</v>
      </c>
      <c r="B3" t="s">
        <v>125</v>
      </c>
      <c r="F3" s="3"/>
    </row>
    <row r="4" spans="1:8" ht="16" x14ac:dyDescent="0.2">
      <c r="A4" s="5"/>
      <c r="F4" s="3"/>
    </row>
    <row r="5" spans="1:8" ht="16" x14ac:dyDescent="0.2">
      <c r="A5" s="5" t="s">
        <v>82</v>
      </c>
      <c r="B5" t="s">
        <v>124</v>
      </c>
      <c r="F5" s="3"/>
    </row>
    <row r="6" spans="1:8" ht="16" x14ac:dyDescent="0.2">
      <c r="A6" s="5" t="s">
        <v>123</v>
      </c>
      <c r="B6" t="s">
        <v>122</v>
      </c>
      <c r="F6" s="3"/>
      <c r="G6" t="s">
        <v>121</v>
      </c>
    </row>
    <row r="7" spans="1:8" ht="16" x14ac:dyDescent="0.2">
      <c r="A7" s="5"/>
      <c r="F7" s="3"/>
    </row>
    <row r="8" spans="1:8" ht="16" x14ac:dyDescent="0.2">
      <c r="A8" s="5" t="s">
        <v>120</v>
      </c>
      <c r="B8" t="s">
        <v>119</v>
      </c>
      <c r="F8" s="3">
        <f>LEN("Fanny Kung")</f>
        <v>10</v>
      </c>
      <c r="G8" t="s">
        <v>118</v>
      </c>
    </row>
    <row r="9" spans="1:8" ht="16" x14ac:dyDescent="0.2">
      <c r="A9" s="5"/>
      <c r="F9" s="3"/>
    </row>
    <row r="10" spans="1:8" ht="16" x14ac:dyDescent="0.2">
      <c r="A10" s="5" t="s">
        <v>117</v>
      </c>
      <c r="B10" t="s">
        <v>116</v>
      </c>
      <c r="F10" s="3" t="str">
        <f>LEFT("Fanny", 3)</f>
        <v>Fan</v>
      </c>
      <c r="G10" t="s">
        <v>115</v>
      </c>
      <c r="H10" t="s">
        <v>114</v>
      </c>
    </row>
    <row r="11" spans="1:8" ht="16" x14ac:dyDescent="0.2">
      <c r="A11" s="5"/>
      <c r="B11" t="s">
        <v>113</v>
      </c>
      <c r="F11" s="3" t="str">
        <f>RIGHT("Fanny", 3)</f>
        <v>nny</v>
      </c>
      <c r="G11" t="s">
        <v>112</v>
      </c>
    </row>
    <row r="12" spans="1:8" ht="16" x14ac:dyDescent="0.2">
      <c r="A12" s="5"/>
      <c r="F12" s="3"/>
    </row>
    <row r="13" spans="1:8" ht="16" x14ac:dyDescent="0.2">
      <c r="A13" s="5" t="s">
        <v>111</v>
      </c>
      <c r="B13" t="s">
        <v>110</v>
      </c>
      <c r="F13" s="3"/>
    </row>
    <row r="14" spans="1:8" ht="16" x14ac:dyDescent="0.2">
      <c r="A14" s="5"/>
      <c r="F14" s="3"/>
    </row>
    <row r="15" spans="1:8" ht="16" x14ac:dyDescent="0.2">
      <c r="A15" s="5" t="s">
        <v>109</v>
      </c>
      <c r="B15" t="s">
        <v>108</v>
      </c>
      <c r="F15" s="3"/>
    </row>
    <row r="16" spans="1:8" ht="16" x14ac:dyDescent="0.2">
      <c r="A16" s="5"/>
      <c r="F16" s="3"/>
    </row>
    <row r="17" spans="1:7" ht="16" x14ac:dyDescent="0.2">
      <c r="A17" s="5" t="s">
        <v>107</v>
      </c>
      <c r="B17" t="s">
        <v>106</v>
      </c>
      <c r="F17" s="3"/>
      <c r="G17" t="s">
        <v>105</v>
      </c>
    </row>
    <row r="18" spans="1:7" ht="16" x14ac:dyDescent="0.2">
      <c r="A18" s="5"/>
      <c r="F18" s="3"/>
    </row>
    <row r="19" spans="1:7" ht="16" x14ac:dyDescent="0.2">
      <c r="A19" s="5" t="s">
        <v>104</v>
      </c>
      <c r="B19" t="s">
        <v>103</v>
      </c>
      <c r="F19" s="3"/>
    </row>
    <row r="20" spans="1:7" ht="16" x14ac:dyDescent="0.2">
      <c r="A20" s="5"/>
      <c r="B20" t="s">
        <v>102</v>
      </c>
      <c r="F20" s="3"/>
    </row>
    <row r="21" spans="1:7" ht="16" x14ac:dyDescent="0.2">
      <c r="A21" s="5"/>
      <c r="F21" s="3"/>
    </row>
    <row r="22" spans="1:7" ht="16" x14ac:dyDescent="0.2">
      <c r="A22" s="5" t="s">
        <v>101</v>
      </c>
      <c r="B22" t="s">
        <v>100</v>
      </c>
      <c r="F22" s="3"/>
    </row>
    <row r="23" spans="1:7" ht="16" x14ac:dyDescent="0.2">
      <c r="A23" s="5"/>
      <c r="F23" s="3"/>
    </row>
    <row r="24" spans="1:7" ht="16" x14ac:dyDescent="0.2">
      <c r="A24" s="5" t="s">
        <v>99</v>
      </c>
      <c r="B24" t="s">
        <v>98</v>
      </c>
      <c r="F24" s="3"/>
    </row>
    <row r="25" spans="1:7" x14ac:dyDescent="0.2">
      <c r="F25" s="3"/>
    </row>
    <row r="26" spans="1:7" x14ac:dyDescent="0.2">
      <c r="F26" s="3"/>
    </row>
    <row r="27" spans="1:7" ht="16" x14ac:dyDescent="0.2">
      <c r="A27" s="5" t="s">
        <v>97</v>
      </c>
      <c r="B27" t="s">
        <v>96</v>
      </c>
      <c r="F27" s="3"/>
    </row>
    <row r="28" spans="1:7" x14ac:dyDescent="0.2">
      <c r="F28" s="3"/>
    </row>
    <row r="29" spans="1:7" ht="16" x14ac:dyDescent="0.2">
      <c r="A29" s="5" t="s">
        <v>95</v>
      </c>
      <c r="B29" t="s">
        <v>94</v>
      </c>
      <c r="F29" s="3"/>
    </row>
    <row r="30" spans="1:7" x14ac:dyDescent="0.2">
      <c r="F30" s="3"/>
    </row>
    <row r="31" spans="1:7" x14ac:dyDescent="0.2">
      <c r="F31" s="3"/>
    </row>
    <row r="32" spans="1:7" x14ac:dyDescent="0.2">
      <c r="F32" s="3"/>
    </row>
  </sheetData>
  <hyperlinks>
    <hyperlink ref="B1" r:id="rId1" xr:uid="{E50DF943-81CB-D94F-8057-287B61DAED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TingWen Kung</cp:lastModifiedBy>
  <dcterms:created xsi:type="dcterms:W3CDTF">2021-12-16T14:18:34Z</dcterms:created>
  <dcterms:modified xsi:type="dcterms:W3CDTF">2026-07-29T00:11:56Z</dcterms:modified>
</cp:coreProperties>
</file>