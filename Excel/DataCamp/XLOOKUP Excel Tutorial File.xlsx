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g/Desktop/Data Bootcamp/Excel/"/>
    </mc:Choice>
  </mc:AlternateContent>
  <xr:revisionPtr revIDLastSave="0" documentId="13_ncr:1_{2EDBAE38-40DD-D945-89C4-A4AE9618D31B}" xr6:coauthVersionLast="47" xr6:coauthVersionMax="47" xr10:uidLastSave="{00000000-0000-0000-0000-000000000000}"/>
  <bookViews>
    <workbookView xWindow="2460" yWindow="2940" windowWidth="23260" windowHeight="12460" xr2:uid="{5EA44D8F-79D3-45F5-A0F6-C7F47358B7ED}"/>
  </bookViews>
  <sheets>
    <sheet name="Note" sheetId="10" r:id="rId1"/>
    <sheet name="XLookUp" sheetId="1" r:id="rId2"/>
    <sheet name="XLookUp Multiple Rows" sheetId="6" r:id="rId3"/>
    <sheet name="XLookUp Exact Match" sheetId="8" r:id="rId4"/>
    <sheet name="XLookUp Search Order" sheetId="9" r:id="rId5"/>
    <sheet name="XLookUp Horizontal" sheetId="4" r:id="rId6"/>
    <sheet name="XLookUp w SUM" sheetId="7" r:id="rId7"/>
    <sheet name="VLookUp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7" i="7"/>
  <c r="B4" i="7"/>
  <c r="B3" i="7"/>
  <c r="B2" i="7"/>
  <c r="B4" i="9"/>
  <c r="B3" i="9"/>
  <c r="B4" i="8"/>
  <c r="B5" i="8"/>
  <c r="B6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G23" i="8"/>
  <c r="G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<sst xmlns="http://schemas.openxmlformats.org/spreadsheetml/2006/main" count="508" uniqueCount="113">
  <si>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</si>
  <si>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</si>
  <si>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</si>
  <si>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</si>
  <si>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</si>
  <si>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</si>
  <si>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</si>
  <si>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</si>
  <si>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</si>
  <si>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</si>
  <si>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</si>
  <si>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</si>
  <si>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</si>
  <si>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</si>
  <si>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</si>
  <si>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</si>
  <si>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</si>
  <si>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</si>
  <si>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</si>
  <si>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</si>
  <si>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</si>
  <si>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</si>
  <si>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</si>
  <si>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</si>
  <si>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</si>
  <si>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</si>
  <si>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</si>
  <si>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</si>
  <si>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</si>
  <si>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</si>
  <si>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</si>
  <si>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</si>
  <si>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</si>
  <si>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</si>
  <si>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</si>
  <si>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</si>
  <si>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</si>
  <si>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</si>
  <si>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</si>
  <si>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</si>
  <si>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</si>
  <si>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</si>
  <si>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</si>
  <si>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</si>
  <si>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</si>
  <si>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</si>
  <si>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</si>
  <si>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</si>
  <si>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</si>
  <si>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</si>
  <si>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</si>
  <si>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</si>
  <si>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</si>
  <si>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</si>
  <si>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</si>
  <si>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</si>
  <si>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</si>
  <si>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</si>
  <si>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</si>
  <si>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</si>
  <si>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</si>
  <si>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</si>
  <si>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</si>
  <si>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</si>
  <si>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</si>
  <si>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</si>
  <si>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</si>
  <si>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</si>
  <si>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</si>
  <si>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</si>
  <si>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</si>
  <si>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</si>
  <si>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</si>
  <si>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</si>
  <si>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</si>
  <si>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</si>
  <si>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</si>
  <si>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</si>
  <si>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</si>
  <si>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</si>
  <si>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</si>
  <si>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</si>
  <si>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</si>
  <si>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</si>
  <si>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</si>
  <si>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</si>
  <si>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</si>
  <si>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</si>
  <si>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</si>
  <si>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</si>
  <si>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</si>
  <si>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</si>
  <si>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XLookUp</t>
  </si>
  <si>
    <t>lookup_value</t>
  </si>
  <si>
    <t>return_array</t>
  </si>
  <si>
    <t>lookup_array</t>
  </si>
  <si>
    <t>if not found</t>
  </si>
  <si>
    <t xml:space="preserve"> =XLOOKUP(what you want to search, search area, what to show if find it, what to showif not found, num)</t>
  </si>
  <si>
    <t>exact match</t>
  </si>
  <si>
    <t>exact match or smaller</t>
  </si>
  <si>
    <t>exact match or larger</t>
  </si>
  <si>
    <t>char match</t>
  </si>
  <si>
    <t xml:space="preserve"> =XLOOKUP("*"&amp;A4, H3:H11, O3:O11, "Not in the List", 2)</t>
  </si>
  <si>
    <t xml:space="preserve">find the first value lagger than lookup </t>
  </si>
  <si>
    <t>SUM</t>
  </si>
  <si>
    <t xml:space="preserve"> =SUM(XLOOKUP():XLOOKUP())</t>
  </si>
  <si>
    <t>VLookUp</t>
  </si>
  <si>
    <t>table_array</t>
  </si>
  <si>
    <t>index_num</t>
  </si>
  <si>
    <t>range_mode</t>
  </si>
  <si>
    <t>approx match</t>
  </si>
  <si>
    <t xml:space="preserve"> =VLOOKUP(what you want to search, search area, return which colunm,True or False)</t>
  </si>
  <si>
    <t>*NOT affect if you insert any colunm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</si>
</sst>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F938-44FC-7F4C-B0DF-1BA7FDC91A7F}">
  <dimension ref="A2:M17"/>
  <sheetViews>
    <sheetView tabSelected="1" zoomScale="134" workbookViewId="0">
      <selection activeCell="C5" sqref="C5"/>
    </sheetView>
  </sheetViews>
  <sheetFormatPr baseColWidth="10" defaultRowHeight="15" x14ac:dyDescent="0.2"/>
  <cols>
    <col min="4" max="4" width="11.33203125" bestFit="1" customWidth="1"/>
    <col min="5" max="5" width="11.1640625" bestFit="1" customWidth="1"/>
    <col min="6" max="6" width="10.6640625" bestFit="1" customWidth="1"/>
  </cols>
  <sheetData>
    <row r="2" spans="1:13" x14ac:dyDescent="0.2">
      <c r="D2" s="5" t="s">
        <v>93</v>
      </c>
      <c r="E2" s="6" t="s">
        <v>95</v>
      </c>
      <c r="F2" s="5" t="s">
        <v>94</v>
      </c>
      <c r="H2" s="5" t="s">
        <v>96</v>
      </c>
    </row>
    <row r="3" spans="1:13" x14ac:dyDescent="0.2">
      <c r="A3" s="3" t="s">
        <v>92</v>
      </c>
      <c r="C3" t="s">
        <v>97</v>
      </c>
    </row>
    <row r="4" spans="1:13" x14ac:dyDescent="0.2">
      <c r="C4" s="7" t="s">
        <v>112</v>
      </c>
      <c r="J4" s="4">
        <v>0</v>
      </c>
      <c r="K4" t="s">
        <v>98</v>
      </c>
    </row>
    <row r="5" spans="1:13" x14ac:dyDescent="0.2">
      <c r="J5" s="4">
        <v>-1</v>
      </c>
      <c r="K5" t="s">
        <v>99</v>
      </c>
    </row>
    <row r="6" spans="1:13" x14ac:dyDescent="0.2">
      <c r="J6" s="4">
        <v>1</v>
      </c>
      <c r="K6" t="s">
        <v>100</v>
      </c>
      <c r="M6" t="s">
        <v>103</v>
      </c>
    </row>
    <row r="7" spans="1:13" x14ac:dyDescent="0.2">
      <c r="J7" s="4">
        <v>2</v>
      </c>
      <c r="K7" t="s">
        <v>101</v>
      </c>
    </row>
    <row r="11" spans="1:13" x14ac:dyDescent="0.2">
      <c r="A11" s="3" t="s">
        <v>104</v>
      </c>
      <c r="C11" t="s">
        <v>105</v>
      </c>
    </row>
    <row r="14" spans="1:13" x14ac:dyDescent="0.2">
      <c r="D14" s="5" t="s">
        <v>93</v>
      </c>
      <c r="E14" s="7" t="s">
        <v>107</v>
      </c>
      <c r="F14" s="7" t="s">
        <v>108</v>
      </c>
      <c r="G14" s="5" t="s">
        <v>109</v>
      </c>
    </row>
    <row r="15" spans="1:13" x14ac:dyDescent="0.2">
      <c r="A15" s="3" t="s">
        <v>106</v>
      </c>
      <c r="C15" t="s">
        <v>111</v>
      </c>
    </row>
    <row r="16" spans="1:13" x14ac:dyDescent="0.2">
      <c r="H16" s="4" t="b">
        <v>1</v>
      </c>
      <c r="I16" t="s">
        <v>110</v>
      </c>
    </row>
    <row r="17" spans="8:9" x14ac:dyDescent="0.2">
      <c r="H17" s="4" t="b">
        <v>0</v>
      </c>
      <c r="I17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opLeftCell="A5" workbookViewId="0">
      <selection activeCell="B14" sqref="B14"/>
    </sheetView>
  </sheetViews>
  <sheetFormatPr baseColWidth="10" defaultColWidth="8.83203125" defaultRowHeight="15" x14ac:dyDescent="0.2"/>
  <cols>
    <col min="1" max="1" width="13.83203125" bestFit="1" customWidth="1"/>
    <col min="2" max="2" width="24.5" customWidth="1"/>
    <col min="8" max="8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>
        <f>_xlfn.XLOOKUP(A3, H2:H10, 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>
        <f t="shared" ref="B4:B6" si="0">_xlfn.XLOOKUP(A4, H3:H11, 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4.6640625" bestFit="1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 I2:I10, 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 I3:I11, 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 I4:I12, 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 I5:I13, 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N23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4.6640625" bestFit="1" customWidth="1"/>
    <col min="2" max="2" width="27.1640625" bestFit="1" customWidth="1"/>
    <col min="3" max="3" width="44.83203125" customWidth="1"/>
    <col min="7" max="7" width="14.6640625" bestFit="1" customWidth="1"/>
    <col min="10" max="10" width="15.83203125" bestFit="1" customWidth="1"/>
    <col min="14" max="14" width="40.6640625" bestFit="1" customWidth="1"/>
  </cols>
  <sheetData>
    <row r="1" spans="1:14" x14ac:dyDescent="0.2">
      <c r="D1" t="s">
        <v>0</v>
      </c>
      <c r="E1" t="s">
        <v>1</v>
      </c>
      <c r="F1" t="s">
        <v>2</v>
      </c>
      <c r="G1" t="s">
        <v>60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">
      <c r="A2" t="s">
        <v>60</v>
      </c>
      <c r="B2" t="s">
        <v>9</v>
      </c>
      <c r="D2">
        <v>1001</v>
      </c>
      <c r="E2" t="s">
        <v>10</v>
      </c>
      <c r="F2" t="s">
        <v>11</v>
      </c>
      <c r="G2" t="s">
        <v>61</v>
      </c>
      <c r="H2">
        <v>30</v>
      </c>
      <c r="I2" t="s">
        <v>12</v>
      </c>
      <c r="J2" t="s">
        <v>13</v>
      </c>
      <c r="K2">
        <v>45000</v>
      </c>
      <c r="L2" s="1" t="s">
        <v>14</v>
      </c>
      <c r="M2" s="1" t="s">
        <v>15</v>
      </c>
      <c r="N2" s="2" t="s">
        <v>16</v>
      </c>
    </row>
    <row r="3" spans="1:14" x14ac:dyDescent="0.2">
      <c r="A3" t="s">
        <v>86</v>
      </c>
      <c r="B3" t="str">
        <f>_xlfn.XLOOKUP(A3, G2:G10, N2:N10, "Not in the List")</f>
        <v>Not in the List</v>
      </c>
      <c r="D3">
        <v>1002</v>
      </c>
      <c r="E3" t="s">
        <v>17</v>
      </c>
      <c r="F3" t="s">
        <v>18</v>
      </c>
      <c r="G3" t="s">
        <v>62</v>
      </c>
      <c r="H3">
        <v>30</v>
      </c>
      <c r="I3" t="s">
        <v>19</v>
      </c>
      <c r="J3" t="s">
        <v>20</v>
      </c>
      <c r="K3">
        <v>36000</v>
      </c>
      <c r="L3" s="1" t="s">
        <v>21</v>
      </c>
      <c r="M3" s="1" t="s">
        <v>22</v>
      </c>
      <c r="N3" s="2" t="s">
        <v>23</v>
      </c>
    </row>
    <row r="4" spans="1:14" x14ac:dyDescent="0.2">
      <c r="A4" t="s">
        <v>18</v>
      </c>
      <c r="B4" t="str">
        <f>_xlfn.XLOOKUP("*"&amp;A4, G3:G11, N3:N11, "Not in the List", 2)</f>
        <v>Pam.Beasley@DunderMifflin.com</v>
      </c>
      <c r="C4" t="s">
        <v>102</v>
      </c>
      <c r="D4">
        <v>1003</v>
      </c>
      <c r="E4" t="s">
        <v>24</v>
      </c>
      <c r="F4" t="s">
        <v>25</v>
      </c>
      <c r="G4" t="s">
        <v>63</v>
      </c>
      <c r="H4">
        <v>29</v>
      </c>
      <c r="I4" t="s">
        <v>12</v>
      </c>
      <c r="J4" t="s">
        <v>13</v>
      </c>
      <c r="K4">
        <v>63000</v>
      </c>
      <c r="L4" s="1" t="s">
        <v>26</v>
      </c>
      <c r="M4" s="1" t="s">
        <v>27</v>
      </c>
      <c r="N4" s="2" t="s">
        <v>28</v>
      </c>
    </row>
    <row r="5" spans="1:14" x14ac:dyDescent="0.2">
      <c r="A5" t="s">
        <v>67</v>
      </c>
      <c r="B5" t="str">
        <f>_xlfn.XLOOKUP(A5, G4:G12, N4:N12, "Not in the List")</f>
        <v>Meredith.Palmer@Yahoo.com</v>
      </c>
      <c r="D5">
        <v>1004</v>
      </c>
      <c r="E5" t="s">
        <v>29</v>
      </c>
      <c r="F5" t="s">
        <v>30</v>
      </c>
      <c r="G5" t="s">
        <v>64</v>
      </c>
      <c r="H5">
        <v>31</v>
      </c>
      <c r="I5" t="s">
        <v>19</v>
      </c>
      <c r="J5" t="s">
        <v>31</v>
      </c>
      <c r="K5">
        <v>47000</v>
      </c>
      <c r="L5" s="1" t="s">
        <v>32</v>
      </c>
      <c r="M5" s="1" t="s">
        <v>33</v>
      </c>
      <c r="N5" s="2" t="s">
        <v>34</v>
      </c>
    </row>
    <row r="6" spans="1:14" x14ac:dyDescent="0.2">
      <c r="A6" t="s">
        <v>87</v>
      </c>
      <c r="B6" t="str">
        <f>_xlfn.XLOOKUP(A6, G5:G13, N5:N13, "Not in the List")</f>
        <v>Not in the List</v>
      </c>
      <c r="D6">
        <v>1005</v>
      </c>
      <c r="E6" t="s">
        <v>35</v>
      </c>
      <c r="F6" t="s">
        <v>36</v>
      </c>
      <c r="G6" t="s">
        <v>65</v>
      </c>
      <c r="H6">
        <v>32</v>
      </c>
      <c r="I6" t="s">
        <v>12</v>
      </c>
      <c r="J6" t="s">
        <v>37</v>
      </c>
      <c r="K6">
        <v>50000</v>
      </c>
      <c r="L6" s="1" t="s">
        <v>38</v>
      </c>
      <c r="M6" s="1" t="s">
        <v>39</v>
      </c>
      <c r="N6" s="2" t="s">
        <v>40</v>
      </c>
    </row>
    <row r="7" spans="1:14" x14ac:dyDescent="0.2">
      <c r="D7">
        <v>1006</v>
      </c>
      <c r="E7" t="s">
        <v>41</v>
      </c>
      <c r="F7" t="s">
        <v>42</v>
      </c>
      <c r="G7" t="s">
        <v>66</v>
      </c>
      <c r="H7">
        <v>35</v>
      </c>
      <c r="I7" t="s">
        <v>12</v>
      </c>
      <c r="J7" t="s">
        <v>43</v>
      </c>
      <c r="K7">
        <v>65000</v>
      </c>
      <c r="L7" s="1" t="s">
        <v>38</v>
      </c>
      <c r="M7" s="1" t="s">
        <v>44</v>
      </c>
      <c r="N7" s="2" t="s">
        <v>45</v>
      </c>
    </row>
    <row r="8" spans="1:14" x14ac:dyDescent="0.2">
      <c r="D8">
        <v>1007</v>
      </c>
      <c r="E8" t="s">
        <v>46</v>
      </c>
      <c r="F8" t="s">
        <v>47</v>
      </c>
      <c r="G8" t="s">
        <v>67</v>
      </c>
      <c r="H8">
        <v>32</v>
      </c>
      <c r="I8" t="s">
        <v>19</v>
      </c>
      <c r="J8" t="s">
        <v>48</v>
      </c>
      <c r="K8">
        <v>41000</v>
      </c>
      <c r="L8" s="1" t="s">
        <v>49</v>
      </c>
      <c r="M8" s="1" t="s">
        <v>44</v>
      </c>
      <c r="N8" s="2" t="s">
        <v>50</v>
      </c>
    </row>
    <row r="9" spans="1:14" x14ac:dyDescent="0.2">
      <c r="D9">
        <v>1008</v>
      </c>
      <c r="E9" t="s">
        <v>51</v>
      </c>
      <c r="F9" t="s">
        <v>52</v>
      </c>
      <c r="G9" t="s">
        <v>68</v>
      </c>
      <c r="H9">
        <v>38</v>
      </c>
      <c r="I9" t="s">
        <v>12</v>
      </c>
      <c r="J9" t="s">
        <v>13</v>
      </c>
      <c r="K9">
        <v>48000</v>
      </c>
      <c r="L9" s="1" t="s">
        <v>53</v>
      </c>
      <c r="M9" s="1" t="s">
        <v>54</v>
      </c>
      <c r="N9" s="2" t="s">
        <v>55</v>
      </c>
    </row>
    <row r="10" spans="1:14" x14ac:dyDescent="0.2">
      <c r="D10">
        <v>1009</v>
      </c>
      <c r="E10" t="s">
        <v>56</v>
      </c>
      <c r="F10" t="s">
        <v>57</v>
      </c>
      <c r="G10" t="s">
        <v>69</v>
      </c>
      <c r="H10">
        <v>31</v>
      </c>
      <c r="I10" t="s">
        <v>12</v>
      </c>
      <c r="J10" t="s">
        <v>31</v>
      </c>
      <c r="K10">
        <v>42000</v>
      </c>
      <c r="L10" s="1" t="s">
        <v>58</v>
      </c>
      <c r="M10" s="1" t="s">
        <v>54</v>
      </c>
      <c r="N10" s="2" t="s">
        <v>59</v>
      </c>
    </row>
    <row r="22" spans="7:7" x14ac:dyDescent="0.2">
      <c r="G22" t="str">
        <f t="shared" ref="G22:G23" si="0">CONCATENATE(E12," ",F12)</f>
        <v xml:space="preserve"> </v>
      </c>
    </row>
    <row r="23" spans="7:7" x14ac:dyDescent="0.2">
      <c r="G23" t="str">
        <f t="shared" si="0"/>
        <v xml:space="preserve"> </v>
      </c>
    </row>
  </sheetData>
  <pageMargins left="0.7" right="0.7" top="0.75" bottom="0.75" header="0.3" footer="0.3"/>
  <ignoredErrors>
    <ignoredError sqref="B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 N2:N10, I2:I10, "Not Found", 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 N3:N11, I3:I11, "Not Found", 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L17" sqref="L17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 H1:S1, 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>_xlfn.XLOOKUP(I1, H1:S1, 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>_xlfn.XLOOKUP(I1, H1:S1, 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SUM(_xlfn.XLOOKUP(I1,H1:S1,H2:S2):_xlfn.XLOOKUP(J1, H1:S1, H2:S2))</f>
        <v>460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4.5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B3" t="str">
        <f>VLOOKUP(A3, H2:P10, 9, 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</vt:lpstr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TingWen Kung</cp:lastModifiedBy>
  <dcterms:created xsi:type="dcterms:W3CDTF">2021-12-20T02:45:32Z</dcterms:created>
  <dcterms:modified xsi:type="dcterms:W3CDTF">2026-07-29T03:29:08Z</dcterms:modified>
</cp:coreProperties>
</file>